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2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3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4.xml" ContentType="application/vnd.openxmlformats-officedocument.spreadsheetml.worksheet+xml"/>
  <Override PartName="/xl/tables/table1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8ef79b81cd47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te 1 (HUB)" sheetId="1" r:id="R0d3018f7b88345c8"/>
    <x:sheet xmlns:r="http://schemas.openxmlformats.org/officeDocument/2006/relationships" name="Site 2" sheetId="4" r:id="R8f9ba5a151a5493d"/>
    <x:sheet xmlns:r="http://schemas.openxmlformats.org/officeDocument/2006/relationships" name="Site 3" sheetId="2" r:id="Ref329f6f670a4809"/>
    <x:sheet xmlns:r="http://schemas.openxmlformats.org/officeDocument/2006/relationships" name="FLOW_POLICY" sheetId="3" r:id="R85b4662f280d4829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<x:sst xmlns:x="http://schemas.openxmlformats.org/spreadsheetml/2006/main">
  <x:si>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site</x:t>
  </x:si>
  <x:si>
    <x:t xml:space="preserve">intf_prefix</x:t>
  </x:si>
  <x:si>
    <x:t xml:space="preserve">router-id</x:t>
  </x:si>
  <x:si>
    <x:t xml:space="preserve">brukernavn</x:t>
  </x:si>
  <x:si>
    <x:t xml:space="preserve">passord</x:t>
  </x:si>
  <x:si>
    <x:t xml:space="preserve">vty_lines</x:t>
  </x:si>
  <x:si>
    <x:t xml:space="preserve">secret</x:t>
  </x:si>
  <x:si>
    <x:t xml:space="preserve">ISP-VLAN</x:t>
  </x:si>
  <x:si>
    <x:t xml:space="preserve">tacacs_key</x:t>
  </x:si>
  <x:si>
    <x:t xml:space="preserve">DHCP</x:t>
  </x:si>
  <x:si>
    <x:t xml:space="preserve">dns_servers</x:t>
  </x:si>
  <x:si>
    <x:t xml:space="preserve">tacacs_server_ip</x:t>
  </x:si>
  <x:si>
    <x:t xml:space="preserve">syslog_server_ip</x:t>
  </x:si>
  <x:si>
    <x:t xml:space="preserve">urpf_mode</x:t>
  </x:si>
  <x:si>
    <x:t xml:space="preserve">radius_server_ip</x:t>
  </x:si>
  <x:si>
    <x:t xml:space="preserve">radius_key</x:t>
  </x:si>
  <x:si>
    <x:t xml:space="preserve">dmvpn_phase</x:t>
  </x:si>
  <x:si>
    <x:t xml:space="preserve">tacacs_syntax</x:t>
  </x:si>
  <x:si>
    <x:t xml:space="preserve">radius_syntax</x:t>
  </x:si>
  <x:si>
    <x:t xml:space="preserve">dot1x_syntax</x:t>
  </x:si>
  <x:si>
    <x:t xml:space="preserve">eigrp_syntax</x:t>
  </x:si>
  <x:si>
    <x:t xml:space="preserve">vrf_syntax</x:t>
  </x:si>
  <x:si>
    <x:t xml:space="preserve">ike_version</x:t>
  </x:si>
  <x:si>
    <x:t xml:space="preserve">secret_type</x:t>
  </x:si>
  <x:si>
    <x:t xml:space="preserve">trunk_encapsulation</x:t>
  </x:si>
  <x:si>
    <x:t xml:space="preserve">snmpv3_enabled</x:t>
  </x:si>
  <x:si>
    <x:t xml:space="preserve">snmp_server_ip</x:t>
  </x:si>
  <x:si>
    <x:t xml:space="preserve">snmp_user</x:t>
  </x:si>
  <x:si>
    <x:t xml:space="preserve">snmp_auth_password</x:t>
  </x:si>
  <x:si>
    <x:t xml:space="preserve">snmp_priv_password</x:t>
  </x:si>
  <x:si>
    <x:t xml:space="preserve">g0/</x:t>
  </x:si>
  <x:si>
    <x:t xml:space="preserve">admin</x:t>
  </x:si>
  <x:si>
    <x:t xml:space="preserve">0 - 15</x:t>
  </x:si>
  <x:si>
    <x:t xml:space="preserve">8.8.8.8,1.1.1.1</x:t>
  </x:si>
  <x:si>
    <x:t xml:space="preserve">10.1.10.10</x:t>
  </x:si>
  <x:si>
    <x:t xml:space="preserve">OFF</x:t>
  </x:si>
  <x:si>
    <x:t xml:space="preserve">NEW</x:t>
  </x:si>
  <x:si>
    <x:t xml:space="preserve">AUTH</x:t>
  </x:si>
  <x:si>
    <x:t xml:space="preserve">NAMED</x:t>
  </x:si>
  <x:si>
    <x:t xml:space="preserve">OLD</x:t>
  </x:si>
  <x:si>
    <x:t xml:space="preserve">IKEV2</x:t>
  </x:si>
  <x:si>
    <x:t xml:space="preserve">AUTO</x:t>
  </x:si>
  <x:si>
    <x:t xml:space="preserve">nmsuser</x:t>
  </x:si>
  <x:si>
    <x:t xml:space="preserve">vrf</x:t>
  </x:si>
  <x:si>
    <x:t xml:space="preserve">vlan</x:t>
  </x:si>
  <x:si>
    <x:t xml:space="preserve">interface</x:t>
  </x:si>
  <x:si>
    <x:t xml:space="preserve">nett id</x:t>
  </x:si>
  <x:si>
    <x:t xml:space="preserve">gateway</x:t>
  </x:si>
  <x:si>
    <x:t xml:space="preserve">mask</x:t>
  </x:si>
  <x:si>
    <x:t xml:space="preserve">address min</x:t>
  </x:si>
  <x:si>
    <x:t xml:space="preserve">address max</x:t>
  </x:si>
  <x:si>
    <x:t xml:space="preserve">antall-res</x:t>
  </x:si>
  <x:si>
    <x:t xml:space="preserve">pri-afxx</x:t>
  </x:si>
  <x:si>
    <x:t xml:space="preserve">pri-1-10</x:t>
  </x:si>
  <x:si>
    <x:t xml:space="preserve">MGMT</x:t>
  </x:si>
  <x:si>
    <x:t xml:space="preserve">255.255.255.0</x:t>
  </x:si>
  <x:si>
    <x:t xml:space="preserve">INET</x:t>
  </x:si>
  <x:si>
    <x:t xml:space="preserve">UNET</x:t>
  </x:si>
  <x:si>
    <x:t xml:space="preserve">PA</x:t>
  </x:si>
  <x:si>
    <x:t xml:space="preserve">MONITORING</x:t>
  </x:si>
  <x:si>
    <x:t xml:space="preserve">loopback</x:t>
  </x:si>
  <x:si>
    <x:t xml:space="preserve">laddr</x:t>
  </x:si>
  <x:si>
    <x:t xml:space="preserve">tunnel id</x:t>
  </x:si>
  <x:si>
    <x:t xml:space="preserve">ip address</x:t>
  </x:si>
  <x:si>
    <x:t xml:space="preserve">source</x:t>
  </x:si>
  <x:si>
    <x:t xml:space="preserve">destination</x:t>
  </x:si>
  <x:si>
    <x:t xml:space="preserve">gre mode</x:t>
  </x:si>
  <x:si>
    <x:t xml:space="preserve">network-id</x:t>
  </x:si>
  <x:si>
    <x:t xml:space="preserve">ipsec</x:t>
  </x:si>
  <x:si>
    <x:t xml:space="preserve">ipsec key</x:t>
  </x:si>
  <x:si>
    <x:t xml:space="preserve">tunnel 10</x:t>
  </x:si>
  <x:si>
    <x:t xml:space="preserve">multipoint</x:t>
  </x:si>
  <x:si>
    <x:t xml:space="preserve">tunnel 20</x:t>
  </x:si>
  <x:si>
    <x:t xml:space="preserve">tunnel 30</x:t>
  </x:si>
  <x:si>
    <x:t xml:space="preserve">tunnel 40</x:t>
  </x:si>
  <x:si>
    <x:t xml:space="preserve">tunnel 50</x:t>
  </x:si>
  <x:si>
    <x:t xml:space="preserve">etherchan_num</x:t>
  </x:si>
  <x:si>
    <x:t xml:space="preserve">span_mode</x:t>
  </x:si>
  <x:si>
    <x:t xml:space="preserve">dot1x_vlans</x:t>
  </x:si>
  <x:si>
    <x:t xml:space="preserve">SPAN</x:t>
  </x:si>
  <x:si>
    <x:t xml:space="preserve">20,30,40</x:t>
  </x:si>
  <x:si>
    <x:t xml:space="preserve">SW</x:t>
  </x:si>
  <x:si>
    <x:t xml:space="preserve">MGMT Vlan</x:t>
  </x:si>
  <x:si>
    <x:t xml:space="preserve">MGMT ip</x:t>
  </x:si>
  <x:si>
    <x:t xml:space="preserve">num_ports_tot</x:t>
  </x:si>
  <x:si>
    <x:t xml:space="preserve">skiped_ports</x:t>
  </x:si>
  <x:si>
    <x:t xml:space="preserve">num_downlink</x:t>
  </x:si>
  <x:si>
    <x:t xml:space="preserve">vlan-antall</x:t>
  </x:si>
  <x:si>
    <x:t xml:space="preserve">num_port_ledig</x:t>
  </x:si>
  <x:si>
    <x:t xml:space="preserve">MONITORING ip</x:t>
  </x:si>
  <x:si>
    <x:t xml:space="preserve">200.1-20.5-30.5-40.5</x:t>
  </x:si>
  <x:si>
    <x:t xml:space="preserve">8.8.8.8, 1.1.1.1</x:t>
  </x:si>
  <x:si>
    <x:t xml:space="preserve">DOT1Q_CMD</x:t>
  </x:si>
  <x:si>
    <x:t xml:space="preserve">20.5-30.5-40.5</x:t>
  </x:si>
  <x:si>
    <x:t xml:space="preserve">g1/0/</x:t>
  </x:si>
  <x:si>
    <x:t xml:space="preserve">20.2-30.2-40.2</x:t>
  </x:si>
  <x:si>
    <x:t xml:space="preserve">protocol</x:t>
  </x:si>
  <x:si>
    <x:t xml:space="preserve">destination_port</x:t>
  </x:si>
  <x:si>
    <x:t xml:space="preserve">action</x:t>
  </x:si>
  <x:si>
    <x:t xml:space="preserve">FLOW_POLICY</x:t>
  </x:si>
  <x:si>
    <x:t xml:space="preserve">Hvordan den brukes</x:t>
  </x:si>
  <x:si>
    <x:t xml:space="preserve">udp</x:t>
  </x:si>
  <x:si>
    <x:t xml:space="preserve">permit</x:t>
  </x:si>
  <x:si>
    <x:t xml:space="preserve">Rekkefølge</x:t>
  </x:si>
  <x:si>
    <x:t xml:space="preserve">Regler evalueres ovenfra og ned. Generatoren avslutter hver ACL med deny ip any any log.</x:t>
  </x:si>
  <x:si>
    <x:t xml:space="preserve">ip</x:t>
  </x:si>
  <x:si>
    <x:t xml:space="preserve">any</x:t>
  </x:si>
  <x:si>
    <x:t xml:space="preserve">VRF-navn</x:t>
  </x:si>
  <x:si>
    <x:t xml:space="preserve">Destination=MGMT/INET/UNET/PA betyr kjente LAN-nett i VRF-en på tvers av sites. MGMT inkluderer også MGMT-loopbacks for administrasjon.</x:t>
  </x:si>
  <x:si>
    <x:t xml:space="preserve">INTERNET/ANY</x:t>
  </x:si>
  <x:si>
    <x:t xml:space="preserve">Matcher any. Legg eksplisitte deny-regler før brede Internet-permits når interne mål skal blokkeres.</x:t>
  </x:si>
  <x:si>
    <x:t xml:space="preserve">deny</x:t>
  </x:si>
  <x:si>
    <x:t xml:space="preserve">Spesialregel som genererer UDP 68 -&gt; 67 slik at DHCP Discover ikke blokkeres av source-subnet match.</x:t>
  </x:si>
  <x:si>
    <x:t xml:space="preserve">DNS</x:t>
  </x:si>
  <x:si>
    <x:t xml:space="preserve">DNS/TACACS/SYSLOG</x:t>
  </x:si>
  <x:si>
    <x:t xml:space="preserve">Slår opp server-IP automatisk fra metadata i site-arkene.</x:t>
  </x:si>
  <x:si>
    <x:t xml:space="preserve">tcp</x:t>
  </x:si>
  <x:si>
    <x:t xml:space="preserve">uRPF</x:t>
  </x:si>
  <x:si>
    <x:t xml:space="preserve">urpf_mode står OFF som standard. STRICT/LOOSE er tilgjengelig, men må testes mot DHCP/asymmetrisk routing.</x:t>
  </x:si>
  <x:si>
    <x:t xml:space="preserve">INTERNET</x:t>
  </x:si>
  <x:si>
    <x:t xml:space="preserve">Ikke med i standard klient-flow-policy. ERSPAN/MONITORING behandles som infrastruktur slik at speiltrafikken ikke blokkeres ved et uhell.</x:t>
  </x:si>
  <x:si>
    <x:t xml:space="preserve">Tilpass</x:t>
  </x:si>
  <x:si>
    <x:t xml:space="preserve">Endre radene i A:E til den faktiske tjenestematrisen. Bare sources som finnes i policyen får en generert ingress-ACL.</x:t>
  </x:si>
  <x:si>
    <x:t xml:space="preserve">RADIUS</x:t>
  </x:si>
  <x:si>
    <x:t xml:space="preserve">Destination=RADIUS kan brukes som symbolsk mål og slår opp radius_server_ip fra site-metadata.</x:t>
  </x:si>
  <x:si>
    <x:t xml:space="preserve">802.1X</x:t>
  </x:si>
  <x:si>
    <x:t xml:space="preserve">dot1x_vlans i switch-metadata styrer hvilke klient-VLAN som får 802.1X på accessportene. </x:t>
  </x:si>
</x:sst>
</file>

<file path=xl/styles.xml><?xml version="1.0" encoding="utf-8"?>
<x:styleSheet xmlns:x="http://schemas.openxmlformats.org/spreadsheetml/2006/main">
  <x:fonts count="23">
    <x:font>
      <x:sz val="10"/>
      <x:color rgb="FF000000"/>
      <x:name val="Arial"/>
    </x:font>
    <x:font>
      <x:sz val="10"/>
      <x:color theme="1"/>
      <x:name val="Arial"/>
    </x:font>
    <x:font>
      <x:b/>
      <x:sz val="11"/>
      <x:color rgb="FF000000"/>
      <x:name val="Arial"/>
    </x:font>
    <x:font>
      <x:b/>
      <x:sz val="11"/>
      <x:color theme="1"/>
      <x:name val="Arial"/>
    </x:font>
    <x:font>
      <x:sz val="11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1"/>
      <x:color rgb="FF000000"/>
      <x:name val="Arial"/>
    </x:font>
    <x:font>
      <x:b/>
      <x:sz val="11"/>
      <x:name val="Arial"/>
    </x:font>
    <x:font>
      <x:sz val="11"/>
      <x:name val="Arial"/>
    </x:font>
    <x:font>
      <x:sz val="11"/>
      <x:name val="Arial"/>
    </x:font>
    <x:font>
      <x:b/>
      <x:sz val="10"/>
      <x:color rgb="FFFFFFFF"/>
      <x:name val="Arial"/>
    </x:font>
    <x:font>
      <x:sz val="11"/>
      <x:name val="Arial"/>
    </x:font>
    <x:font>
      <x:b/>
      <x:sz val="10"/>
      <x:name val="Arial"/>
    </x:font>
    <x:font>
      <x:sz val="10"/>
      <x:name val="Arial"/>
    </x:font>
    <x:font>
      <x:b/>
      <x:sz val="11"/>
      <x:name val="Arial"/>
    </x:font>
    <x:font>
      <x:sz val="11"/>
      <x:name val="Arial"/>
    </x:font>
    <x:font>
      <x:sz val="11"/>
      <x:name val="Arial"/>
    </x:font>
    <x:font>
      <x:sz val="11"/>
      <x:name val="Arial"/>
    </x:font>
    <x:font>
      <x:b/>
      <x:sz val="11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EAD5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EAD55"/>
      </x:patternFill>
    </x:fill>
    <x:fill>
      <x:patternFill patternType="solid">
        <x:fgColor theme="7"/>
      </x:patternFill>
    </x:fill>
    <x:fill>
      <x:patternFill patternType="solid">
        <x:fgColor rgb="FF2EAD55"/>
      </x:patternFill>
    </x:fill>
  </x:fills>
  <x:borders count="3">
    <x:border/>
    <x:border>
      <x:right style="thin">
        <x:color theme="7"/>
      </x:right>
      <x:top style="thin">
        <x:color theme="7"/>
      </x:top>
    </x:border>
    <x:border>
      <x:right style="thin">
        <x:color theme="7"/>
      </x:right>
      <x:top style="thin">
        <x:color theme="7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0" fontId="1" fillId="0" borderId="0" xfId="0" applyFont="1" applyAlignment="1">
      <x:alignment horizontal="left"/>
    </x:xf>
    <x:xf numFmtId="0" fontId="2" fillId="0" borderId="0" xfId="0" applyFont="1" applyAlignment="1">
      <x:alignment horizontal="left"/>
    </x:xf>
    <x:xf numFmtId="0" fontId="3" fillId="0" borderId="0" xfId="0" applyFont="1"/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horizontal="left" vertical="center"/>
    </x:xf>
    <x:xf numFmtId="0" fontId="5" fillId="0" borderId="0" xfId="0" applyFont="1" applyAlignment="1">
      <x:alignment vertical="center"/>
    </x:xf>
    <x:xf numFmtId="0" fontId="7" fillId="0" borderId="0" xfId="0" applyFont="1"/>
    <x:xf numFmtId="0" fontId="8" fillId="0" borderId="0" xfId="0" applyFont="1" applyAlignment="1">
      <x:alignment horizontal="left" vertical="center"/>
    </x:xf>
    <x:xf numFmtId="0" fontId="4" fillId="0" borderId="0" xfId="0" applyFont="1" applyAlignment="1">
      <x:alignment horizontal="left"/>
    </x:xf>
    <x:xf numFmtId="0" fontId="10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1" fillId="0" borderId="0" xfId="0" applyFont="1"/>
    <x:xf numFmtId="0" fontId="1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6" fillId="4" borderId="0" xfId="0" applyFont="1" applyFill="1" applyAlignment="1">
      <x:alignment wrapText="1"/>
    </x:xf>
    <x:xf numFmtId="0" fontId="0" fillId="0" borderId="0" xfId="0" applyAlignment="1">
      <x:alignment wrapText="1"/>
    </x:xf>
    <x:xf numFmtId="0" fontId="1" fillId="0" borderId="0" xfId="0" applyFont="1"/>
    <x:xf numFmtId="0" fontId="13" fillId="0" borderId="0" xfId="0" applyFont="1"/>
    <x:xf numFmtId="0" fontId="14" fillId="2" borderId="0" xfId="0" applyFont="1" applyFill="1"/>
    <x:xf numFmtId="0" fontId="14" fillId="0" borderId="0" xfId="0" applyFont="1" applyAlignment="1">
      <x:alignment horizontal="center"/>
    </x:xf>
    <x:xf numFmtId="0" fontId="14" fillId="0" borderId="0" xfId="0" applyFont="1" applyAlignment="1">
      <x:alignment horizontal="left" vertical="center"/>
    </x:xf>
    <x:xf numFmtId="0" fontId="13" fillId="0" borderId="0" xfId="0" applyFont="1" applyAlignment="1">
      <x:alignment horizontal="left" vertical="center"/>
    </x:xf>
    <x:xf numFmtId="0" fontId="15" fillId="0" borderId="0" xfId="0" applyFont="1"/>
    <x:xf numFmtId="0" fontId="16" fillId="0" borderId="0" xfId="0" applyFont="1" applyAlignment="1">
      <x:alignment horizontal="left" vertical="center"/>
    </x:xf>
    <x:xf numFmtId="0" fontId="14" fillId="0" borderId="0" xfId="0" applyFont="1"/>
    <x:xf numFmtId="0" fontId="1" fillId="0" borderId="0" xfId="0" applyFont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0" borderId="0" xfId="0" applyFont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0" borderId="0" xfId="0" applyFont="1"/>
    <x:xf numFmtId="0" fontId="0" fillId="0" borderId="0" xfId="0" applyAlignment="1">
      <x:alignment vertical="center"/>
    </x:xf>
    <x:xf numFmtId="0" fontId="14" fillId="5" borderId="1" xfId="0" applyFont="1" applyFill="1" applyBorder="1"/>
    <x:xf numFmtId="0" fontId="14" fillId="6" borderId="1" xfId="0" applyFont="1" applyFill="1" applyBorder="1" applyAlignment="1">
      <x:alignment horizontal="center"/>
    </x:xf>
    <x:xf numFmtId="0" fontId="18" fillId="0" borderId="0" xfId="0" applyFont="1" applyAlignment="1">
      <x:alignment vertical="center"/>
    </x:xf>
    <x:xf numFmtId="0" fontId="5" fillId="0" borderId="0" xfId="0" applyFont="1"/>
    <x:xf numFmtId="0" fontId="14" fillId="7" borderId="2" xfId="0" applyFont="1" applyFill="1" applyBorder="1"/>
    <x:xf numFmtId="0" fontId="1" fillId="0" borderId="0" xfId="0" applyFont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Font="1" applyAlignment="1">
      <x:alignment wrapText="1"/>
    </x:xf>
    <x:xf numFmtId="0" fontId="19" fillId="0" borderId="0" xfId="0" applyFont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" fillId="0" borderId="0" xfId="0" applyFont="1" applyAlignment="1">
      <x:alignment wrapText="1"/>
    </x:xf>
    <x:xf numFmtId="0" fontId="5" fillId="0" borderId="0" xfId="0" applyFont="1" applyAlignment="1">
      <x:alignment horizontal="left" vertical="center"/>
    </x:xf>
    <x:xf numFmtId="0" fontId="21" fillId="0" borderId="0" xfId="0" applyFont="1" applyAlignment="1">
      <x:alignment horizontal="left" vertical="center"/>
    </x:xf>
    <x:xf numFmtId="0" fontId="19" fillId="0" borderId="0" xfId="0" applyFont="1" applyAlignment="1">
      <x:alignment horizontal="left" vertical="center"/>
    </x:xf>
    <x:xf numFmtId="0" fontId="20" fillId="0" borderId="0" xfId="0" applyFont="1" applyAlignment="1">
      <x:alignment horizontal="left" vertical="center"/>
    </x:xf>
    <x:xf numFmtId="0" fontId="22" fillId="0" borderId="0" xfId="0" applyFont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71">
    <x:dxf>
      <x:font>
        <x:u val="none"/>
        <x:sz val="11"/>
        <x:color rgb="FF000000"/>
        <x:name val="Arial"/>
        <x:scheme val="none"/>
      </x:font>
    </x:dxf>
    <x:dxf>
      <x:font>
        <x:color theme="1"/>
      </x:font>
      <x:numFmt numFmtId="0" formatCode="General"/>
    </x:dxf>
    <x:dxf>
      <x:font>
        <x:color theme="1"/>
      </x:font>
    </x:dxf>
    <x:dxf>
      <x:font>
        <x:sz val="11"/>
        <x:color theme="1"/>
      </x:font>
    </x:dxf>
    <x:dxf>
      <x:font>
        <x:sz val="11"/>
      </x:font>
    </x:dxf>
    <x:dxf>
      <x:font>
        <x:u val="none"/>
        <x:sz val="11"/>
        <x:color rgb="FF000000"/>
        <x:name val="Arial"/>
        <x:scheme val="none"/>
      </x:font>
    </x:dxf>
    <x:dxf>
      <x:font>
        <x:u val="none"/>
        <x:sz val="11"/>
        <x:color rgb="FF000000"/>
        <x:name val="Arial"/>
        <x:scheme val="none"/>
      </x:font>
    </x:dxf>
    <x:dxf>
      <x:font>
        <x:sz val="11"/>
      </x:font>
    </x:dxf>
    <x:dxf>
      <x:font>
        <x:sz val="11"/>
      </x:font>
      <x:numFmt numFmtId="0" formatCode="General"/>
    </x:dxf>
    <x:dxf>
      <x:font>
        <x:sz val="11"/>
      </x:font>
      <x:numFmt numFmtId="0" formatCode="General"/>
    </x:dxf>
    <x:dxf>
      <x:font>
        <x:sz val="11"/>
      </x:font>
    </x:dxf>
    <x:dxf>
      <x:font>
        <x:sz val="11"/>
      </x:font>
      <x:numFmt numFmtId="0" formatCode="General"/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theme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  <x:numFmt numFmtId="0" formatCode="General"/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numFmt numFmtId="0" formatCode="General"/>
    </x:dxf>
    <x:dxf>
      <x:font>
        <x:color theme="1"/>
      </x:font>
      <x:numFmt numFmtId="0" formatCode="General"/>
    </x:dxf>
    <x:dxf>
      <x:font>
        <x:color theme="1"/>
      </x:font>
    </x:dxf>
    <x:dxf>
      <x:font>
        <x:sz val="11"/>
        <x:color theme="1"/>
      </x:font>
    </x:dxf>
    <x:dxf>
      <x:font>
        <x:sz val="11"/>
      </x:font>
    </x:dxf>
    <x:dxf>
      <x:font>
        <x:u val="none"/>
        <x:sz val="11"/>
        <x:color rgb="FF000000"/>
        <x:name val="Arial"/>
        <x:scheme val="none"/>
      </x:font>
    </x:dxf>
    <x:dxf>
      <x:font>
        <x:u val="none"/>
        <x:sz val="11"/>
        <x:color rgb="FF000000"/>
        <x:name val="Arial"/>
        <x:scheme val="none"/>
      </x:font>
    </x:dxf>
    <x:dxf>
      <x:font>
        <x:sz val="11"/>
      </x:font>
    </x:dxf>
    <x:dxf>
      <x:font>
        <x:sz val="11"/>
      </x:font>
      <x:numFmt numFmtId="0" formatCode="General"/>
    </x:dxf>
    <x:dxf>
      <x:font>
        <x:sz val="11"/>
      </x:font>
      <x:numFmt numFmtId="0" formatCode="General"/>
    </x:dxf>
    <x:dxf>
      <x:font>
        <x:sz val="11"/>
      </x:font>
    </x:dxf>
    <x:dxf>
      <x:font>
        <x:sz val="11"/>
      </x:font>
    </x:dxf>
    <x:dxf>
      <x:font>
        <x:color theme="1"/>
      </x:font>
    </x:dxf>
    <x:dxf>
      <x:font>
        <x:sz val="11"/>
        <x:color auto="1"/>
        <x:family val="2"/>
      </x:font>
    </x:dxf>
    <x:dxf>
      <x:font>
        <x:color theme="1"/>
      </x:font>
    </x:dxf>
    <x:dxf>
      <x:font>
        <x:color theme="1"/>
      </x:font>
    </x:dxf>
    <x:dxf>
      <x:font>
        <x:color theme="1"/>
      </x:font>
    </x:dxf>
    <x:dxf>
      <x:font>
        <x:color theme="1"/>
      </x:font>
    </x:dxf>
    <x:dxf>
      <x:font>
        <x:color theme="1"/>
      </x:font>
    </x:dxf>
    <x:dxf>
      <x:font>
        <x:color theme="1"/>
      </x:font>
    </x:dxf>
    <x:dxf>
      <x:font>
        <x:color theme="1"/>
      </x:font>
    </x:dxf>
    <x:dxf>
      <x:font>
        <x:color theme="1"/>
      </x:font>
    </x:dxf>
    <x:dxf>
      <x:numFmt numFmtId="0" formatCode="General"/>
    </x:dxf>
    <x:dxf>
      <x:numFmt numFmtId="0" formatCode="General"/>
    </x:dxf>
    <x:dxf>
      <x:font>
        <x:u val="none"/>
        <x:sz val="11"/>
        <x:color rgb="FF000000"/>
        <x:name val="Arial"/>
        <x:scheme val="none"/>
      </x:font>
    </x:dxf>
    <x:dxf>
      <x:numFmt numFmtId="0" formatCode="General"/>
    </x:dxf>
    <x:dxf>
      <x:numFmt numFmtId="0" formatCode="General"/>
    </x:dxf>
    <x:dxf>
      <x:font>
        <x:u val="none"/>
        <x:sz val="10"/>
        <x:color theme="1"/>
        <x:name val="Arial"/>
        <x:scheme val="none"/>
      </x:font>
    </x:dxf>
    <x:dxf>
      <x:font>
        <x:u val="none"/>
        <x:sz val="10"/>
        <x:color theme="1"/>
        <x:name val="Arial"/>
        <x:scheme val="none"/>
      </x:font>
    </x:dxf>
    <x:dxf>
      <x:font>
        <x:u val="none"/>
        <x:sz val="10"/>
        <x:color theme="1"/>
        <x:name val="Arial"/>
        <x:scheme val="none"/>
      </x:font>
    </x:dxf>
    <x:dxf>
      <x:font>
        <x:u val="none"/>
        <x:sz val="10"/>
        <x:color theme="1"/>
        <x:name val="Arial"/>
        <x:scheme val="none"/>
      </x:font>
    </x:dxf>
    <x:dxf>
      <x:font>
        <x:u val="none"/>
        <x:sz val="10"/>
        <x:color theme="1"/>
        <x:name val="Arial"/>
        <x:scheme val="none"/>
      </x:font>
    </x:dxf>
    <x:dxf>
      <x:font>
        <x:u val="none"/>
        <x:sz val="10"/>
        <x:color theme="1"/>
        <x:name val="Arial"/>
        <x:scheme val="none"/>
      </x:font>
    </x:dxf>
    <x:dxf>
      <x:font>
        <x:u val="none"/>
        <x:sz val="10"/>
        <x:color theme="1"/>
        <x:name val="Arial"/>
        <x:scheme val="none"/>
      </x:font>
    </x:dxf>
    <x:dxf>
      <x:font>
        <x:u val="none"/>
        <x:sz val="10"/>
        <x:color theme="1"/>
        <x:name val="Arial"/>
        <x:scheme val="none"/>
      </x:font>
    </x:dxf>
    <x:dxf>
      <x:font>
        <x:u val="none"/>
        <x:sz val="10"/>
        <x:color theme="1"/>
        <x:name val="Arial"/>
        <x:scheme val="none"/>
      </x:font>
    </x:dxf>
    <x:dxf>
      <x:font>
        <x:u val="none"/>
        <x:sz val="10"/>
        <x:color theme="1"/>
        <x:name val="Arial"/>
        <x:scheme val="none"/>
      </x:font>
    </x:dxf>
    <x:dxf>
      <x:font>
        <x:u val="none"/>
        <x:sz val="10"/>
        <x:color theme="1"/>
        <x:name val="Arial"/>
        <x:scheme val="none"/>
      </x:font>
    </x:dxf>
    <x:dxf>
      <x:font>
        <x:u val="none"/>
        <x:sz val="10"/>
        <x:color theme="1"/>
        <x:name val="Arial"/>
        <x:scheme val="none"/>
      </x:font>
    </x:dxf>
    <x:dxf>
      <x:font>
        <x:u val="none"/>
        <x:sz val="10"/>
        <x:color theme="1"/>
        <x:name val="Arial"/>
        <x:scheme val="none"/>
      </x:font>
    </x:dxf>
    <x:dxf>
      <x:font>
        <x:u val="none"/>
        <x:sz val="10"/>
        <x:color theme="1"/>
        <x:name val="Arial"/>
        <x:scheme val="none"/>
      </x:font>
    </x:dxf>
    <x:dxf>
      <x:font>
        <x:u val="none"/>
        <x:sz val="10"/>
        <x:color theme="1"/>
        <x:name val="Arial"/>
        <x:scheme val="none"/>
      </x:font>
    </x:dxf>
    <x:dxf>
      <x:font>
        <x:u val="none"/>
        <x:sz val="10"/>
        <x:color theme="1"/>
        <x:name val="Arial"/>
        <x:scheme val="none"/>
      </x:font>
    </x:dxf>
    <x:dxf>
      <x:font>
        <x:u val="none"/>
        <x:sz val="10"/>
        <x:color theme="1"/>
        <x:name val="Arial"/>
        <x:scheme val="none"/>
      </x:font>
    </x:dxf>
    <x:dxf>
      <x:font>
        <x:u val="none"/>
        <x:sz val="10"/>
        <x:color theme="1"/>
        <x:name val="Arial"/>
        <x:scheme val="none"/>
      </x:font>
    </x:dxf>
    <x:dxf>
      <x:font>
        <x:u val="none"/>
        <x:sz val="10"/>
        <x:color theme="1"/>
        <x:name val="Arial"/>
        <x:scheme val="none"/>
      </x:font>
    </x:dxf>
    <x:dxf>
      <x:font>
        <x:u val="none"/>
        <x:sz val="10"/>
        <x:color theme="1"/>
        <x:name val="Arial"/>
        <x:scheme val="none"/>
      </x:font>
    </x:dxf>
    <x:dxf>
      <x:font>
        <x:u val="none"/>
        <x:sz val="10"/>
        <x:color theme="1"/>
        <x:name val="Arial"/>
        <x:scheme val="none"/>
      </x:font>
    </x:dxf>
    <x:dxf>
      <x:font>
        <x:u val="none"/>
        <x:sz val="10"/>
        <x:color theme="1"/>
        <x:name val="Arial"/>
        <x:scheme val="none"/>
      </x:font>
    </x:dxf>
    <x:dxf>
      <x:font>
        <x:u val="none"/>
        <x:sz val="11"/>
        <x:color theme="1"/>
        <x:name val="Arial"/>
        <x:scheme val="none"/>
      </x:font>
    </x:dxf>
    <x:dxf>
      <x:font>
        <x:u val="none"/>
        <x:sz val="10"/>
        <x:color theme="1"/>
        <x:name val="Arial"/>
        <x:scheme val="none"/>
      </x:font>
    </x:dxf>
    <x:dxf>
      <x:font>
        <x:u val="none"/>
        <x:sz val="11"/>
        <x:color rgb="FF000000"/>
        <x:name val="Arial"/>
        <x:scheme val="none"/>
      </x:font>
    </x:dxf>
    <x:dxf>
      <x:font>
        <x:color theme="1"/>
      </x:font>
      <x:numFmt numFmtId="0" formatCode="General"/>
    </x:dxf>
    <x:dxf>
      <x:font>
        <x:color theme="1"/>
      </x:font>
    </x:dxf>
    <x:dxf>
      <x:font>
        <x:sz val="11"/>
        <x:color theme="1"/>
      </x:font>
    </x:dxf>
    <x:dxf>
      <x:font>
        <x:sz val="11"/>
      </x:font>
    </x:dxf>
    <x:dxf>
      <x:font>
        <x:u val="none"/>
        <x:sz val="11"/>
        <x:color rgb="FF000000"/>
        <x:name val="Arial"/>
        <x:scheme val="none"/>
      </x:font>
    </x:dxf>
    <x:dxf>
      <x:font>
        <x:u val="none"/>
        <x:sz val="11"/>
        <x:color rgb="FF000000"/>
        <x:name val="Arial"/>
        <x:scheme val="none"/>
      </x:font>
    </x:dxf>
    <x:dxf>
      <x:font>
        <x:sz val="11"/>
      </x:font>
    </x:dxf>
    <x:dxf>
      <x:font>
        <x:sz val="11"/>
      </x:font>
      <x:numFmt numFmtId="0" formatCode="General"/>
    </x:dxf>
    <x:dxf>
      <x:font>
        <x:sz val="11"/>
      </x:font>
      <x:numFmt numFmtId="0" formatCode="General"/>
    </x:dxf>
    <x:dxf>
      <x:font>
        <x:sz val="11"/>
      </x:font>
    </x:dxf>
    <x:dxf>
      <x:font>
        <x:sz val="11"/>
      </x:font>
      <x:numFmt numFmtId="0" formatCode="General"/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theme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  <x:numFmt numFmtId="0" formatCode="General"/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  <x:dxf>
      <x:font>
        <x:u val="none"/>
        <x:sz val="11"/>
        <x:color auto="1"/>
        <x:name val="Arial"/>
        <x:family val="2"/>
        <x:scheme val="non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1eba6f19b14564" /><Relationship Type="http://schemas.openxmlformats.org/officeDocument/2006/relationships/theme" Target="/xl/theme/theme1.xml" Id="Rd6c4805f342a47fe" /><Relationship Type="http://schemas.openxmlformats.org/officeDocument/2006/relationships/sheetMetadata" Target="/xl/metadata1.xml" Id="Rd58f48124c5d4338" /><Relationship Type="http://schemas.microsoft.com/office/2022/11/relationships/FeaturePropertyBag" Target="/xl/featurePropertyBag/featurePropertyBag.xml" Id="R0c808f7174ed41d0" /><Relationship Type="http://schemas.openxmlformats.org/officeDocument/2006/relationships/sharedStrings" Target="/xl/sharedStrings.xml" Id="R53cbf826714d45ca" /><Relationship Type="http://schemas.openxmlformats.org/officeDocument/2006/relationships/worksheet" Target="/xl/worksheets/sheet1.xml" Id="R0d3018f7b88345c8" /><Relationship Type="http://schemas.openxmlformats.org/officeDocument/2006/relationships/worksheet" Target="/xl/worksheets/sheet2.xml" Id="R8f9ba5a151a5493d" /><Relationship Type="http://schemas.openxmlformats.org/officeDocument/2006/relationships/worksheet" Target="/xl/worksheets/sheet3.xml" Id="Ref329f6f670a4809" /><Relationship Type="http://schemas.openxmlformats.org/officeDocument/2006/relationships/worksheet" Target="/xl/worksheets/sheet4.xml" Id="R85b4662f280d48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3" name="Tabell5" displayName="Tabell5" ref="A1:AD2">
  <x:tableColumns count="30">
    <x:tableColumn id="1" name="site"/>
    <x:tableColumn id="2" name="intf_prefix"/>
    <x:tableColumn id="3" name="router-id"/>
    <x:tableColumn id="4" name="brukernavn"/>
    <x:tableColumn id="5" name="passord"/>
    <x:tableColumn id="6" name="vty_lines"/>
    <x:tableColumn id="7" name="secret" dataDxfId="110"/>
    <x:tableColumn id="25" name="ISP-VLAN" dataDxfId="109"/>
    <x:tableColumn id="8" name="tacacs_key" dataDxfId="108"/>
    <x:tableColumn id="9" name="DHCP" dataDxfId="107"/>
    <x:tableColumn id="10" name="dns_servers" dataDxfId="106"/>
    <x:tableColumn id="11" name="tacacs_server_ip" dataDxfId="105"/>
    <x:tableColumn id="12" name="syslog_server_ip" dataDxfId="104"/>
    <x:tableColumn id="13" name="urpf_mode" dataDxfId="103"/>
    <x:tableColumn id="14" name="radius_server_ip" dataDxfId="102"/>
    <x:tableColumn id="15" name="radius_key" dataDxfId="101"/>
    <x:tableColumn id="16" name="dmvpn_phase" dataDxfId="100"/>
    <x:tableColumn id="17" name="tacacs_syntax" dataDxfId="99"/>
    <x:tableColumn id="18" name="radius_syntax" dataDxfId="98"/>
    <x:tableColumn id="19" name="dot1x_syntax" dataDxfId="97"/>
    <x:tableColumn id="20" name="eigrp_syntax" dataDxfId="96"/>
    <x:tableColumn id="21" name="vrf_syntax" dataDxfId="95"/>
    <x:tableColumn id="22" name="ike_version" dataDxfId="94"/>
    <x:tableColumn id="23" name="secret_type" dataDxfId="93"/>
    <x:tableColumn id="24" name="trunk_encapsulation" dataDxfId="92"/>
    <x:tableColumn id="26" name="snmpv3_enabled" dataDxfId="91"/>
    <x:tableColumn id="27" name="snmp_server_ip" dataDxfId="90"/>
    <x:tableColumn id="28" name="snmp_user" dataDxfId="89"/>
    <x:tableColumn id="29" name="snmp_auth_password" dataDxfId="88"/>
    <x:tableColumn id="30" name="snmp_priv_password" dataDxfId="87"/>
  </x:tableColumns>
  <x:tableStyleInfo name="TableStyleLight12" showFirstColumn="1" showLastColumn="1" showRowStripes="1" showColumnStripes="0"/>
</x:table>
</file>

<file path=xl/tables/table2.xml><?xml version="1.0" encoding="utf-8"?>
<x:table xmlns:x="http://schemas.openxmlformats.org/spreadsheetml/2006/main" id="5" name="Tabell6" displayName="Tabell6" ref="A4:K9">
  <x:tableColumns count="11">
    <x:tableColumn id="1" name="vrf"/>
    <x:tableColumn id="2" name="vlan"/>
    <x:tableColumn id="3" name="interface"/>
    <x:tableColumn id="4" name="nett id" dataDxfId="86">
      <x:calculatedColumnFormula>10&amp;"."&amp;($A$2)&amp;"."&amp;$B5&amp;"."&amp;0</x:calculatedColumnFormula>
    </x:tableColumn>
    <x:tableColumn id="5" name="gateway"/>
    <x:tableColumn id="6" name="mask"/>
    <x:tableColumn id="7" name="address min"/>
    <x:tableColumn id="8" name="address max" dataDxfId="85">
      <x:calculatedColumnFormula array="1">_xlfn.LET(
_xlpm.net,SUM(--_xlfn.TEXTSPLIT(Tabell6[[#This Row],[nett id]],".")*{16777216,65536,256,1}),
_xlpm.mask,SUM(--_xlfn.TEXTSPLIT(Tabell6[[#This Row],[mask]],".")*{16777216,65536,256,1}),
_xlpm.addr,_xlpm.net+(4294967295-_xlpm.mask)-1,
_xlfn.TEXTJOIN(".",TRUE,MOD(QUOTIENT(_xlpm.addr,{16777216,65536,256,1}),256))
)</x:calculatedColumnFormula>
    </x:tableColumn>
    <x:tableColumn id="9" name="antall-res" dataDxfId="84"/>
    <x:tableColumn id="10" name="pri-afxx"/>
    <x:tableColumn id="11" name="pri-1-10"/>
  </x:tableColumns>
  <x:tableStyleInfo name="TableStyleLight12" showFirstColumn="1" showLastColumn="1" showRowStripes="1" showColumnStripes="0"/>
</x:table>
</file>

<file path=xl/tables/table3.xml><?xml version="1.0" encoding="utf-8"?>
<x:table xmlns:x="http://schemas.openxmlformats.org/spreadsheetml/2006/main" id="10" name="Tabell7" displayName="Tabell7" ref="A11:C16">
  <x:tableColumns count="3">
    <x:tableColumn id="1" name="vrf"/>
    <x:tableColumn id="3" name="loopback"/>
    <x:tableColumn id="4" name="laddr">
      <x:calculatedColumnFormula>$A$2&amp;"."&amp;$A$2&amp;"."&amp;$A$2&amp;"."&amp;(B12)</x:calculatedColumnFormula>
    </x:tableColumn>
  </x:tableColumns>
  <x:tableStyleInfo name="TableStyleLight12" showFirstColumn="1" showLastColumn="1" showRowStripes="1" showColumnStripes="0"/>
</x:table>
</file>

<file path=xl/tables/table4.xml><?xml version="1.0" encoding="utf-8"?>
<x:table xmlns:x="http://schemas.openxmlformats.org/spreadsheetml/2006/main" id="12" name="Tabell8" displayName="Tabell8" ref="A18:J23">
  <x:tableColumns count="10">
    <x:tableColumn id="1" name="tunnel id"/>
    <x:tableColumn id="2" name="vrf"/>
    <x:tableColumn id="3" name="ip address" dataDxfId="83">
      <x:calculatedColumnFormula>172&amp;"."&amp;16&amp;"."&amp;$H19&amp;"."&amp;($A$2)</x:calculatedColumnFormula>
    </x:tableColumn>
    <x:tableColumn id="4" name="mask"/>
    <x:tableColumn id="5" name="source" dataDxfId="82">
      <x:calculatedColumnFormula>$C$2</x:calculatedColumnFormula>
    </x:tableColumn>
    <x:tableColumn id="6" name="destination"/>
    <x:tableColumn id="7" name="gre mode"/>
    <x:tableColumn id="8" name="network-id"/>
    <x:tableColumn id="9" name="ipsec"/>
    <x:tableColumn id="10" name="ipsec key"/>
  </x:tableColumns>
  <x:tableStyleInfo name="TableStyleLight12" showFirstColumn="1" showLastColumn="1" showRowStripes="1" showColumnStripes="0"/>
</x:table>
</file>

<file path=xl/tables/table5.xml><?xml version="1.0" encoding="utf-8"?>
<x:table xmlns:x="http://schemas.openxmlformats.org/spreadsheetml/2006/main" id="20" name="Tabell131921" displayName="Tabell131921" ref="A25:I26" dataDxfId="81">
  <x:tableColumns count="9">
    <x:tableColumn id="1" name="site" dataDxfId="80">
      <x:calculatedColumnFormula>A2</x:calculatedColumnFormula>
    </x:tableColumn>
    <x:tableColumn id="2" name="brukernavn" dataDxfId="79"/>
    <x:tableColumn id="4" name="passord" dataDxfId="78"/>
    <x:tableColumn id="5" name="vty_lines" dataDxfId="77"/>
    <x:tableColumn id="3" name="secret" dataDxfId="76"/>
    <x:tableColumn id="6" name="etherchan_num" dataDxfId="75"/>
    <x:tableColumn id="7" name="span_mode" dataDxfId="74"/>
    <x:tableColumn id="8" name="dot1x_vlans" dataDxfId="73"/>
    <x:tableColumn id="9" name="ISP-VLAN" dataDxfId="72">
      <x:calculatedColumnFormula array="1">Tabell5[ISP-VLAN]</x:calculatedColumnFormula>
    </x:tableColumn>
  </x:tableColumns>
  <x:tableStyleInfo name="TableStyleLight12" showFirstColumn="1" showLastColumn="1" showRowStripes="1" showColumnStripes="0"/>
</x:table>
</file>

<file path=xl/tables/table6.xml><?xml version="1.0" encoding="utf-8"?>
<x:table xmlns:x="http://schemas.openxmlformats.org/spreadsheetml/2006/main" id="4" name="Tabell1618242825" displayName="Tabell1618242825" ref="A28:Q29" totalsRowShown="0">
  <x:tableColumns count="17">
    <x:tableColumn id="1" name="SW" dataDxfId="71">
      <x:calculatedColumnFormula>ROW()-28</x:calculatedColumnFormula>
    </x:tableColumn>
    <x:tableColumn id="2" name="MGMT Vlan" dataDxfId="70"/>
    <x:tableColumn id="3" name="MGMT ip" dataDxfId="69">
      <x:calculatedColumnFormula>LEFT($G$5,LEN($G$5)-1)&amp;(RIGHT($G$5,1)+A29)</x:calculatedColumnFormula>
    </x:tableColumn>
    <x:tableColumn id="4" name="gateway" dataDxfId="68">
      <x:calculatedColumnFormula>$E$5</x:calculatedColumnFormula>
    </x:tableColumn>
    <x:tableColumn id="5" name="mask" dataDxfId="67">
      <x:calculatedColumnFormula>$F$5</x:calculatedColumnFormula>
    </x:tableColumn>
    <x:tableColumn id="10" name="num_ports_tot" dataDxfId="66"/>
    <x:tableColumn id="11" name="skiped_ports" dataDxfId="65"/>
    <x:tableColumn id="6" name="num_downlink" dataDxfId="64"/>
    <x:tableColumn id="7" name="vlan-antall" dataDxfId="63"/>
    <x:tableColumn id="8" name="intf_prefix" dataDxfId="62"/>
    <x:tableColumn id="9" name="num_port_ledig" dataDxfId="61">
      <x:calculatedColumnFormula>IF($A29=1,F29-G29-H29*$F$26-2-IF($L$2&lt;&gt;$M$2,1,0)-IF(OR(UPPER($G$26)="SPAN",UPPER($G$26)="ERSPAN",UPPER($G$26)="RSPAN"),1,0),F29-G29-(1+H29)*$F$26-1)</x:calculatedColumnFormula>
    </x:tableColumn>
    <x:tableColumn id="12" name="MONITORING ip" dataDxfId="60"/>
    <x:tableColumn id="13" name="tacacs_syntax"/>
    <x:tableColumn id="14" name="radius_syntax"/>
    <x:tableColumn id="15" name="dot1x_syntax"/>
    <x:tableColumn id="16" name="secret_type"/>
    <x:tableColumn id="17" name="trunk_encapsulation"/>
  </x:tableColumns>
  <x:tableStyleInfo name="TableStyleLight12" showFirstColumn="1" showLastColumn="1" showRowStripes="1" showColumnStripes="0"/>
</x:table>
</file>

<file path=xl/tables/table7.xml><?xml version="1.0" encoding="utf-8"?>
<x:table xmlns:x="http://schemas.openxmlformats.org/spreadsheetml/2006/main" id="7" name="Tabell18" displayName="Tabell18" ref="A1:AA2" dataDxfId="170">
  <x:tableColumns count="27">
    <x:tableColumn id="1" name="site" dataDxfId="169"/>
    <x:tableColumn id="2" name="intf_prefix" dataDxfId="168"/>
    <x:tableColumn id="3" name="router-id" dataDxfId="167">
      <x:calculatedColumnFormula>A2&amp;"."&amp;A2&amp;"."&amp;A2&amp;".0"</x:calculatedColumnFormula>
    </x:tableColumn>
    <x:tableColumn id="4" name="brukernavn" dataDxfId="166"/>
    <x:tableColumn id="5" name="passord" dataDxfId="165"/>
    <x:tableColumn id="6" name="vty_lines" dataDxfId="164"/>
    <x:tableColumn id="7" name="secret" dataDxfId="163"/>
    <x:tableColumn id="8" name="tacacs_key" dataDxfId="162">
      <x:calculatedColumnFormula>'Site 1 (HUB)'!I2</x:calculatedColumnFormula>
    </x:tableColumn>
    <x:tableColumn id="9" name="dns_servers" dataDxfId="161"/>
    <x:tableColumn id="10" name="tacacs_server_ip" dataDxfId="160">
      <x:calculatedColumnFormula>'Site 1 (HUB)'!L2</x:calculatedColumnFormula>
    </x:tableColumn>
    <x:tableColumn id="11" name="syslog_server_ip" dataDxfId="159">
      <x:calculatedColumnFormula>'Site 1 (HUB)'!M2</x:calculatedColumnFormula>
    </x:tableColumn>
    <x:tableColumn id="12" name="urpf_mode" dataDxfId="158"/>
    <x:tableColumn id="14" name="radius_server_ip" dataDxfId="157">
      <x:calculatedColumnFormula>'Site 1 (HUB)'!O2</x:calculatedColumnFormula>
    </x:tableColumn>
    <x:tableColumn id="15" name="radius_key" dataDxfId="156">
      <x:calculatedColumnFormula>'Site 1 (HUB)'!P2</x:calculatedColumnFormula>
    </x:tableColumn>
    <x:tableColumn id="13" name="tacacs_syntax" dataDxfId="155"/>
    <x:tableColumn id="16" name="radius_syntax" dataDxfId="154"/>
    <x:tableColumn id="17" name="dot1x_syntax" dataDxfId="153"/>
    <x:tableColumn id="18" name="eigrp_syntax" dataDxfId="152"/>
    <x:tableColumn id="19" name="vrf_syntax" dataDxfId="151"/>
    <x:tableColumn id="20" name="ike_version" dataDxfId="150"/>
    <x:tableColumn id="21" name="secret_type" dataDxfId="149"/>
    <x:tableColumn id="22" name="trunk_encapsulation" dataDxfId="148"/>
    <x:tableColumn id="23" name="snmpv3_enabled" dataDxfId="147"/>
    <x:tableColumn id="24" name="snmp_server_ip" dataDxfId="146"/>
    <x:tableColumn id="25" name="snmp_user" dataDxfId="145"/>
    <x:tableColumn id="26" name="snmp_auth_password" dataDxfId="144"/>
    <x:tableColumn id="27" name="snmp_priv_password" dataDxfId="143"/>
  </x:tableColumns>
  <x:tableStyleInfo name="TableStyleLight12" showFirstColumn="1" showLastColumn="1" showRowStripes="1" showColumnStripes="0"/>
</x:table>
</file>

<file path=xl/tables/table8.xml><?xml version="1.0" encoding="utf-8"?>
<x:table xmlns:x="http://schemas.openxmlformats.org/spreadsheetml/2006/main" id="8" name="Tabell49" displayName="Tabell49" ref="A18:J23" dataDxfId="142">
  <x:tableColumns count="10">
    <x:tableColumn id="1" name="tunnel id" dataDxfId="141"/>
    <x:tableColumn id="2" name="vrf" dataDxfId="140"/>
    <x:tableColumn id="3" name="ip address" dataDxfId="139">
      <x:calculatedColumnFormula>172&amp;"."&amp;16&amp;"."&amp;H19&amp;"."&amp;$A$2</x:calculatedColumnFormula>
    </x:tableColumn>
    <x:tableColumn id="4" name="mask" dataDxfId="138"/>
    <x:tableColumn id="5" name="source" dataDxfId="137">
      <x:calculatedColumnFormula>$C$2</x:calculatedColumnFormula>
    </x:tableColumn>
    <x:tableColumn id="6" name="destination" dataDxfId="136"/>
    <x:tableColumn id="7" name="gre mode" dataDxfId="135"/>
    <x:tableColumn id="8" name="network-id" dataDxfId="134"/>
    <x:tableColumn id="9" name="ipsec" dataDxfId="133">
      <x:calculatedColumnFormula>'Site 1 (HUB)'!I19</x:calculatedColumnFormula>
    </x:tableColumn>
    <x:tableColumn id="10" name="ipsec key" dataDxfId="132"/>
  </x:tableColumns>
  <x:tableStyleInfo name="TableStyleLight12" showFirstColumn="1" showLastColumn="1" showRowStripes="1" showColumnStripes="0"/>
</x:table>
</file>

<file path=xl/tables/table9.xml><?xml version="1.0" encoding="utf-8"?>
<x:table xmlns:x="http://schemas.openxmlformats.org/spreadsheetml/2006/main" id="9" name="Tabell1319253010" displayName="Tabell1319253010" ref="A25:H26" dataDxfId="131">
  <x:tableColumns count="8">
    <x:tableColumn id="1" name="site" dataDxfId="130">
      <x:calculatedColumnFormula>$A$2</x:calculatedColumnFormula>
    </x:tableColumn>
    <x:tableColumn id="4" name="brukernavn" dataDxfId="129">
      <x:calculatedColumnFormula>$D$2</x:calculatedColumnFormula>
    </x:tableColumn>
    <x:tableColumn id="5" name="passord" dataDxfId="128">
      <x:calculatedColumnFormula>$E$2</x:calculatedColumnFormula>
    </x:tableColumn>
    <x:tableColumn id="3" name="vty_lines" dataDxfId="127">
      <x:calculatedColumnFormula>$F$2</x:calculatedColumnFormula>
    </x:tableColumn>
    <x:tableColumn id="2" name="secret" dataDxfId="126">
      <x:calculatedColumnFormula>$G$2</x:calculatedColumnFormula>
    </x:tableColumn>
    <x:tableColumn id="6" name="etherchan_num" dataDxfId="125"/>
    <x:tableColumn id="7" name="span_mode" dataDxfId="124"/>
    <x:tableColumn id="8" name="dot1x_vlans" dataDxfId="123"/>
  </x:tableColumns>
  <x:tableStyleInfo name="TableStyleLight12" showFirstColumn="1" showLastColumn="1" showRowStripes="1" showColumnStripes="0"/>
</x:table>
</file>

<file path=xl/tables/table10.xml><?xml version="1.0" encoding="utf-8"?>
<x:table xmlns:x="http://schemas.openxmlformats.org/spreadsheetml/2006/main" id="11" name="Tabell16182428253212" displayName="Tabell16182428253212" ref="A28:Q29" totalsRowShown="0">
  <x:tableColumns count="17">
    <x:tableColumn id="1" name="SW" dataDxfId="122">
      <x:calculatedColumnFormula>ROW()-28</x:calculatedColumnFormula>
    </x:tableColumn>
    <x:tableColumn id="2" name="MGMT Vlan" dataDxfId="121">
      <x:calculatedColumnFormula>$B$5</x:calculatedColumnFormula>
    </x:tableColumn>
    <x:tableColumn id="3" name="MGMT ip" dataDxfId="120">
      <x:calculatedColumnFormula>10&amp;"."&amp;$A$2&amp;"."&amp;$B$5&amp;"."&amp;(A29+1)</x:calculatedColumnFormula>
    </x:tableColumn>
    <x:tableColumn id="4" name="gateway" dataDxfId="119">
      <x:calculatedColumnFormula>$E$5</x:calculatedColumnFormula>
    </x:tableColumn>
    <x:tableColumn id="5" name="mask" dataDxfId="118">
      <x:calculatedColumnFormula>$F$5</x:calculatedColumnFormula>
    </x:tableColumn>
    <x:tableColumn id="10" name="num_ports_tot" dataDxfId="117"/>
    <x:tableColumn id="11" name="skiped_ports" dataDxfId="116"/>
    <x:tableColumn id="6" name="num_downlink" dataDxfId="115"/>
    <x:tableColumn id="7" name="vlan-antall" dataDxfId="114"/>
    <x:tableColumn id="8" name="intf_prefix" dataDxfId="113"/>
    <x:tableColumn id="9" name="num_port_ledig" dataDxfId="112">
      <x:calculatedColumnFormula>IF($A29=1,F29-G29-H29*$F$26-2-IF(OR(UPPER($G$26)="SPAN",UPPER($G$26)="RSPAN"),1,0),F29-G29-(1+H29)*$F$26-1)</x:calculatedColumnFormula>
    </x:tableColumn>
    <x:tableColumn id="12" name="MONITORING ip"/>
    <x:tableColumn id="13" name="tacacs_syntax"/>
    <x:tableColumn id="14" name="radius_syntax"/>
    <x:tableColumn id="15" name="dot1x_syntax"/>
    <x:tableColumn id="16" name="secret_type"/>
    <x:tableColumn id="17" name="trunk_encapsulation"/>
  </x:tableColumns>
  <x:tableStyleInfo name="TableStyleLight12" showFirstColumn="1" showLastColumn="1" showRowStripes="1" showColumnStripes="0"/>
</x:table>
</file>

<file path=xl/tables/table11.xml><?xml version="1.0" encoding="utf-8"?>
<x:table xmlns:x="http://schemas.openxmlformats.org/spreadsheetml/2006/main" id="13" name="Tabell6214" displayName="Tabell6214" ref="A4:K8">
  <x:tableColumns count="11">
    <x:tableColumn id="1" name="vrf"/>
    <x:tableColumn id="2" name="vlan"/>
    <x:tableColumn id="3" name="interface"/>
    <x:tableColumn id="4" name="nett id">
      <x:calculatedColumnFormula>10&amp;"."&amp;$A$2&amp;"."&amp;B5&amp;".0"</x:calculatedColumnFormula>
    </x:tableColumn>
    <x:tableColumn id="5" name="gateway">
      <x:calculatedColumnFormula>10&amp;"."&amp;$A$2&amp;"."&amp;B5&amp;".1"</x:calculatedColumnFormula>
    </x:tableColumn>
    <x:tableColumn id="6" name="mask"/>
    <x:tableColumn id="7" name="address min">
      <x:calculatedColumnFormula>VALUE(LEFT(D5,FIND(".",D5)-1))&amp;"."&amp;VALUE(MID(D5,FIND(".",D5)+1,FIND(".",D5,FIND(".",D5)+1)-FIND(".",D5)-1))&amp;"."&amp;VALUE(MID(D5,FIND(".",D5,FIND(".",D5)+1)+1,FIND(".",D5,FIND(".",D5,FIND(".",D5)+1)+1)-FIND(".",D5,FIND(".",D5)+1)-1))&amp;"."&amp;(VALUE(RIGHT(D5,LEN(D5)-FIND(".",D5,FIND(".",D5,FIND(".",D5)+1)+1)))+1)</x:calculatedColumnFormula>
    </x:tableColumn>
    <x:tableColumn id="8" name="address max">
      <x:calculatedColumnFormula>(VALUE(LEFT(D5,FIND(".",D5)-1))+255-VALUE(LEFT(F5,FIND(".",F5)-1)))&amp;"."&amp;(VALUE(MID(D5,FIND(".",D5)+1,FIND(".",D5,FIND(".",D5)+1)-FIND(".",D5)-1))+255-VALUE(MID(F5,FIND(".",F5)+1,FIND(".",F5,FIND(".",F5)+1)-FIND(".",F5)-1)))&amp;"."&amp;(VALUE(MID(D5,FIND(".",D5,FIND(".",D5)+1)+1,FIND(".",D5,FIND(".",D5,FIND(".",D5)+1)+1)-FIND(".",D5,FIND(".",D5)+1)-1))+255-VALUE(MID(F5,FIND(".",F5,FIND(".",F5)+1)+1,FIND(".",F5,FIND(".",F5,FIND(".",F5)+1)+1)-FIND(".",F5,FIND(".",F5)+1)-1)))&amp;"."&amp;(VALUE(RIGHT(D5,LEN(D5)-FIND(".",D5,FIND(".",D5,FIND(".",D5)+1)+1)))+255-VALUE(RIGHT(F5,LEN(F5)-FIND(".",F5,FIND(".",F5,FIND(".",F5)+1)+1)))-1)</x:calculatedColumnFormula>
    </x:tableColumn>
    <x:tableColumn id="9" name="antall-res" dataDxfId="111"/>
    <x:tableColumn id="10" name=" "/>
    <x:tableColumn id="11" name="pri-1-10"/>
  </x:tableColumns>
  <x:tableStyleInfo name="TableStyleLight12" showFirstColumn="1" showLastColumn="1" showRowStripes="1" showColumnStripes="0"/>
</x:table>
</file>

<file path=xl/tables/table12.xml><?xml version="1.0" encoding="utf-8"?>
<x:table xmlns:x="http://schemas.openxmlformats.org/spreadsheetml/2006/main" id="14" name="Tabell7715" displayName="Tabell7715" ref="A11:C16">
  <x:tableColumns count="3">
    <x:tableColumn id="1" name="vrf"/>
    <x:tableColumn id="3" name="loopback"/>
    <x:tableColumn id="4" name="laddr">
      <x:calculatedColumnFormula>$A$2&amp;"."&amp;$A$2&amp;"."&amp;$A$2&amp;"."&amp;B12</x:calculatedColumnFormula>
    </x:tableColumn>
  </x:tableColumns>
  <x:tableStyleInfo name="TableStyleLight12" showFirstColumn="1" showLastColumn="1" showRowStripes="1" showColumnStripes="0"/>
</x:table>
</file>

<file path=xl/tables/table13.xml><?xml version="1.0" encoding="utf-8"?>
<x:table xmlns:x="http://schemas.openxmlformats.org/spreadsheetml/2006/main" id="1" name="Tabell182" displayName="Tabell182" ref="A1:AA2" dataDxfId="59">
  <x:tableColumns count="27">
    <x:tableColumn id="1" name="site" dataDxfId="58"/>
    <x:tableColumn id="2" name="intf_prefix" dataDxfId="57"/>
    <x:tableColumn id="3" name="router-id" dataDxfId="56">
      <x:calculatedColumnFormula>A2&amp;"."&amp;A2&amp;"."&amp;A2&amp;".0"</x:calculatedColumnFormula>
    </x:tableColumn>
    <x:tableColumn id="4" name="brukernavn" dataDxfId="55"/>
    <x:tableColumn id="5" name="passord" dataDxfId="54"/>
    <x:tableColumn id="6" name="vty_lines" dataDxfId="53"/>
    <x:tableColumn id="7" name="secret" dataDxfId="52"/>
    <x:tableColumn id="8" name="tacacs_key" dataDxfId="51">
      <x:calculatedColumnFormula>'Site 1 (HUB)'!I2</x:calculatedColumnFormula>
    </x:tableColumn>
    <x:tableColumn id="9" name="dns_servers" dataDxfId="50"/>
    <x:tableColumn id="10" name="tacacs_server_ip" dataDxfId="49">
      <x:calculatedColumnFormula>'Site 1 (HUB)'!L2</x:calculatedColumnFormula>
    </x:tableColumn>
    <x:tableColumn id="11" name="syslog_server_ip" dataDxfId="48">
      <x:calculatedColumnFormula>'Site 1 (HUB)'!M2</x:calculatedColumnFormula>
    </x:tableColumn>
    <x:tableColumn id="12" name="urpf_mode" dataDxfId="47"/>
    <x:tableColumn id="14" name="radius_server_ip" dataDxfId="46">
      <x:calculatedColumnFormula>'Site 1 (HUB)'!O2</x:calculatedColumnFormula>
    </x:tableColumn>
    <x:tableColumn id="15" name="radius_key" dataDxfId="45">
      <x:calculatedColumnFormula>'Site 1 (HUB)'!P2</x:calculatedColumnFormula>
    </x:tableColumn>
    <x:tableColumn id="13" name="tacacs_syntax" dataDxfId="44"/>
    <x:tableColumn id="16" name="radius_syntax" dataDxfId="43"/>
    <x:tableColumn id="17" name="dot1x_syntax" dataDxfId="42"/>
    <x:tableColumn id="18" name="eigrp_syntax" dataDxfId="41"/>
    <x:tableColumn id="19" name="vrf_syntax" dataDxfId="40"/>
    <x:tableColumn id="20" name="ike_version" dataDxfId="39"/>
    <x:tableColumn id="21" name="secret_type" dataDxfId="38"/>
    <x:tableColumn id="22" name="trunk_encapsulation" dataDxfId="37"/>
    <x:tableColumn id="23" name="snmpv3_enabled" dataDxfId="36"/>
    <x:tableColumn id="24" name="snmp_server_ip" dataDxfId="35"/>
    <x:tableColumn id="25" name="snmp_user" dataDxfId="34"/>
    <x:tableColumn id="26" name="snmp_auth_password" dataDxfId="33"/>
    <x:tableColumn id="27" name="snmp_priv_password" dataDxfId="32"/>
  </x:tableColumns>
  <x:tableStyleInfo name="TableStyleLight12" showFirstColumn="1" showLastColumn="1" showRowStripes="1" showColumnStripes="0"/>
</x:table>
</file>

<file path=xl/tables/table14.xml><?xml version="1.0" encoding="utf-8"?>
<x:table xmlns:x="http://schemas.openxmlformats.org/spreadsheetml/2006/main" id="2" name="Tabell493" displayName="Tabell493" ref="A18:J23" dataDxfId="31">
  <x:tableColumns count="10">
    <x:tableColumn id="1" name="tunnel id" dataDxfId="30"/>
    <x:tableColumn id="2" name="vrf" dataDxfId="29"/>
    <x:tableColumn id="3" name="ip address" dataDxfId="28">
      <x:calculatedColumnFormula>172&amp;"."&amp;16&amp;"."&amp;H19&amp;"."&amp;$A$2</x:calculatedColumnFormula>
    </x:tableColumn>
    <x:tableColumn id="4" name="mask" dataDxfId="27"/>
    <x:tableColumn id="5" name="source" dataDxfId="26">
      <x:calculatedColumnFormula>$C$2</x:calculatedColumnFormula>
    </x:tableColumn>
    <x:tableColumn id="6" name="destination" dataDxfId="25"/>
    <x:tableColumn id="7" name="gre mode" dataDxfId="24"/>
    <x:tableColumn id="8" name="network-id" dataDxfId="23"/>
    <x:tableColumn id="9" name="ipsec" dataDxfId="22">
      <x:calculatedColumnFormula>'Site 1 (HUB)'!I19</x:calculatedColumnFormula>
    </x:tableColumn>
    <x:tableColumn id="10" name="ipsec key" dataDxfId="21"/>
  </x:tableColumns>
  <x:tableStyleInfo name="TableStyleLight12" showFirstColumn="1" showLastColumn="1" showRowStripes="1" showColumnStripes="0"/>
</x:table>
</file>

<file path=xl/tables/table15.xml><?xml version="1.0" encoding="utf-8"?>
<x:table xmlns:x="http://schemas.openxmlformats.org/spreadsheetml/2006/main" id="6" name="Tabell13192530107" displayName="Tabell13192530107" ref="A25:H26" dataDxfId="20">
  <x:tableColumns count="8">
    <x:tableColumn id="1" name="site" dataDxfId="19">
      <x:calculatedColumnFormula>$A$2</x:calculatedColumnFormula>
    </x:tableColumn>
    <x:tableColumn id="4" name="brukernavn" dataDxfId="18">
      <x:calculatedColumnFormula>$D$2</x:calculatedColumnFormula>
    </x:tableColumn>
    <x:tableColumn id="5" name="passord" dataDxfId="17">
      <x:calculatedColumnFormula>$E$2</x:calculatedColumnFormula>
    </x:tableColumn>
    <x:tableColumn id="3" name="vty_lines" dataDxfId="16">
      <x:calculatedColumnFormula>$F$2</x:calculatedColumnFormula>
    </x:tableColumn>
    <x:tableColumn id="2" name="secret" dataDxfId="15">
      <x:calculatedColumnFormula>$G$2</x:calculatedColumnFormula>
    </x:tableColumn>
    <x:tableColumn id="6" name="etherchan_num" dataDxfId="14"/>
    <x:tableColumn id="7" name="span_mode" dataDxfId="13"/>
    <x:tableColumn id="8" name="dot1x_vlans" dataDxfId="12"/>
  </x:tableColumns>
  <x:tableStyleInfo name="TableStyleLight12" showFirstColumn="1" showLastColumn="1" showRowStripes="1" showColumnStripes="0"/>
</x:table>
</file>

<file path=xl/tables/table16.xml><?xml version="1.0" encoding="utf-8"?>
<x:table xmlns:x="http://schemas.openxmlformats.org/spreadsheetml/2006/main" id="15" name="Tabell1618242825321216" displayName="Tabell1618242825321216" ref="A28:Q30" totalsRowShown="0">
  <x:tableColumns count="17">
    <x:tableColumn id="1" name="SW" dataDxfId="11">
      <x:calculatedColumnFormula>ROW()-28</x:calculatedColumnFormula>
    </x:tableColumn>
    <x:tableColumn id="2" name="MGMT Vlan" dataDxfId="10">
      <x:calculatedColumnFormula>$B$5</x:calculatedColumnFormula>
    </x:tableColumn>
    <x:tableColumn id="3" name="MGMT ip" dataDxfId="9">
      <x:calculatedColumnFormula>10&amp;"."&amp;$A$2&amp;"."&amp;$B$5&amp;"."&amp;(A29+1)</x:calculatedColumnFormula>
    </x:tableColumn>
    <x:tableColumn id="4" name="gateway" dataDxfId="8">
      <x:calculatedColumnFormula>$E$5</x:calculatedColumnFormula>
    </x:tableColumn>
    <x:tableColumn id="5" name="mask" dataDxfId="7">
      <x:calculatedColumnFormula>$F$5</x:calculatedColumnFormula>
    </x:tableColumn>
    <x:tableColumn id="10" name="num_ports_tot" dataDxfId="6"/>
    <x:tableColumn id="11" name="skiped_ports" dataDxfId="5"/>
    <x:tableColumn id="6" name="num_downlink" dataDxfId="4"/>
    <x:tableColumn id="7" name="vlan-antall" dataDxfId="3"/>
    <x:tableColumn id="8" name="intf_prefix" dataDxfId="2"/>
    <x:tableColumn id="9" name="num_port_ledig" dataDxfId="1">
      <x:calculatedColumnFormula>IF($A29=1,F29-G29-H29*$F$26-2-IF(OR(UPPER($G$26)="SPAN",UPPER($G$26)="RSPAN"),1,0),F29-G29-(1+H29)*$F$26-1)</x:calculatedColumnFormula>
    </x:tableColumn>
    <x:tableColumn id="12" name="MONITORING ip"/>
    <x:tableColumn id="13" name="tacacs_syntax"/>
    <x:tableColumn id="14" name="radius_syntax"/>
    <x:tableColumn id="15" name="dot1x_syntax"/>
    <x:tableColumn id="16" name="secret_type"/>
    <x:tableColumn id="17" name="trunk_encapsulation"/>
  </x:tableColumns>
  <x:tableStyleInfo name="TableStyleLight12" showFirstColumn="1" showLastColumn="1" showRowStripes="1" showColumnStripes="0"/>
</x:table>
</file>

<file path=xl/tables/table17.xml><?xml version="1.0" encoding="utf-8"?>
<x:table xmlns:x="http://schemas.openxmlformats.org/spreadsheetml/2006/main" id="16" name="Tabell621417" displayName="Tabell621417" ref="A4:K8">
  <x:tableColumns count="11">
    <x:tableColumn id="1" name="vrf"/>
    <x:tableColumn id="2" name="vlan"/>
    <x:tableColumn id="3" name="interface"/>
    <x:tableColumn id="4" name="nett id">
      <x:calculatedColumnFormula>10&amp;"."&amp;$A$2&amp;"."&amp;B5&amp;".0"</x:calculatedColumnFormula>
    </x:tableColumn>
    <x:tableColumn id="5" name="gateway">
      <x:calculatedColumnFormula>10&amp;"."&amp;$A$2&amp;"."&amp;B5&amp;".1"</x:calculatedColumnFormula>
    </x:tableColumn>
    <x:tableColumn id="6" name="mask"/>
    <x:tableColumn id="7" name="address min">
      <x:calculatedColumnFormula>VALUE(LEFT(D5,FIND(".",D5)-1))&amp;"."&amp;VALUE(MID(D5,FIND(".",D5)+1,FIND(".",D5,FIND(".",D5)+1)-FIND(".",D5)-1))&amp;"."&amp;VALUE(MID(D5,FIND(".",D5,FIND(".",D5)+1)+1,FIND(".",D5,FIND(".",D5,FIND(".",D5)+1)+1)-FIND(".",D5,FIND(".",D5)+1)-1))&amp;"."&amp;(VALUE(RIGHT(D5,LEN(D5)-FIND(".",D5,FIND(".",D5,FIND(".",D5)+1)+1)))+1)</x:calculatedColumnFormula>
    </x:tableColumn>
    <x:tableColumn id="8" name="address max">
      <x:calculatedColumnFormula>(VALUE(LEFT(D5,FIND(".",D5)-1))+255-VALUE(LEFT(F5,FIND(".",F5)-1)))&amp;"."&amp;(VALUE(MID(D5,FIND(".",D5)+1,FIND(".",D5,FIND(".",D5)+1)-FIND(".",D5)-1))+255-VALUE(MID(F5,FIND(".",F5)+1,FIND(".",F5,FIND(".",F5)+1)-FIND(".",F5)-1)))&amp;"."&amp;(VALUE(MID(D5,FIND(".",D5,FIND(".",D5)+1)+1,FIND(".",D5,FIND(".",D5,FIND(".",D5)+1)+1)-FIND(".",D5,FIND(".",D5)+1)-1))+255-VALUE(MID(F5,FIND(".",F5,FIND(".",F5)+1)+1,FIND(".",F5,FIND(".",F5,FIND(".",F5)+1)+1)-FIND(".",F5,FIND(".",F5)+1)-1)))&amp;"."&amp;(VALUE(RIGHT(D5,LEN(D5)-FIND(".",D5,FIND(".",D5,FIND(".",D5)+1)+1)))+255-VALUE(RIGHT(F5,LEN(F5)-FIND(".",F5,FIND(".",F5,FIND(".",F5)+1)+1)))-1)</x:calculatedColumnFormula>
    </x:tableColumn>
    <x:tableColumn id="9" name="antall-res" dataDxfId="0"/>
    <x:tableColumn id="10" name=" "/>
    <x:tableColumn id="11" name="pri-1-10"/>
  </x:tableColumns>
  <x:tableStyleInfo name="TableStyleLight12" showFirstColumn="1" showLastColumn="1" showRowStripes="1" showColumnStripes="0"/>
</x:table>
</file>

<file path=xl/tables/table18.xml><?xml version="1.0" encoding="utf-8"?>
<x:table xmlns:x="http://schemas.openxmlformats.org/spreadsheetml/2006/main" id="17" name="Tabell771518" displayName="Tabell771518" ref="A11:C15">
  <x:tableColumns count="3">
    <x:tableColumn id="1" name="vrf"/>
    <x:tableColumn id="3" name="loopback"/>
    <x:tableColumn id="4" name="laddr">
      <x:calculatedColumnFormula>$A$2&amp;"."&amp;$A$2&amp;"."&amp;$A$2&amp;"."&amp;B12</x:calculatedColumnFormula>
    </x:tableColumn>
  </x:tableColumns>
  <x:tableStyleInfo name="TableStyleLight12" showFirstColumn="1" showLastColumn="1" showRowStripes="1" showColumnStripes="0"/>
</x:table>
</file>

<file path=xl/tables/table19.xml><?xml version="1.0" encoding="utf-8"?>
<x:table xmlns:x="http://schemas.openxmlformats.org/spreadsheetml/2006/main" id="32" name="FlowPolicyTable" displayName="FlowPolicyTable" ref="A1:E14" totalsRowShown="0">
  <x:tableColumns count="5">
    <x:tableColumn id="1" name="source"/>
    <x:tableColumn id="2" name="destination"/>
    <x:tableColumn id="3" name="protocol"/>
    <x:tableColumn id="4" name="destination_port"/>
    <x:tableColumn id="5" name="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abbcde4a6b4514" /><Relationship Type="http://schemas.openxmlformats.org/officeDocument/2006/relationships/table" Target="/xl/tables/table2.xml" Id="Re838b1348aa846c0" /><Relationship Type="http://schemas.openxmlformats.org/officeDocument/2006/relationships/table" Target="/xl/tables/table3.xml" Id="Ree16878cb28f4d79" /><Relationship Type="http://schemas.openxmlformats.org/officeDocument/2006/relationships/table" Target="/xl/tables/table4.xml" Id="Rbac09177126140f3" /><Relationship Type="http://schemas.openxmlformats.org/officeDocument/2006/relationships/table" Target="/xl/tables/table5.xml" Id="Rf0f365f0a10843f9" /><Relationship Type="http://schemas.openxmlformats.org/officeDocument/2006/relationships/table" Target="/xl/tables/table6.xml" Id="Rad08ecc07cd242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7.xml" Id="R76fb216817ec421c" /><Relationship Type="http://schemas.openxmlformats.org/officeDocument/2006/relationships/table" Target="/xl/tables/table8.xml" Id="Rb787a79212264a1f" /><Relationship Type="http://schemas.openxmlformats.org/officeDocument/2006/relationships/table" Target="/xl/tables/table9.xml" Id="Rd02fe8f9c4a84ca1" /><Relationship Type="http://schemas.openxmlformats.org/officeDocument/2006/relationships/table" Target="/xl/tables/table10.xml" Id="R9809d26240704755" /><Relationship Type="http://schemas.openxmlformats.org/officeDocument/2006/relationships/table" Target="/xl/tables/table11.xml" Id="R5c0ac80316614d08" /><Relationship Type="http://schemas.openxmlformats.org/officeDocument/2006/relationships/table" Target="/xl/tables/table12.xml" Id="R260dd62e1bbf48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3.xml" Id="R575bf8474e614412" /><Relationship Type="http://schemas.openxmlformats.org/officeDocument/2006/relationships/table" Target="/xl/tables/table14.xml" Id="Rc46b7487ee7b444b" /><Relationship Type="http://schemas.openxmlformats.org/officeDocument/2006/relationships/table" Target="/xl/tables/table15.xml" Id="R428437f6e2e749fb" /><Relationship Type="http://schemas.openxmlformats.org/officeDocument/2006/relationships/table" Target="/xl/tables/table16.xml" Id="R81105f10f9974d37" /><Relationship Type="http://schemas.openxmlformats.org/officeDocument/2006/relationships/table" Target="/xl/tables/table17.xml" Id="R4cf6d9fca18b469a" /><Relationship Type="http://schemas.openxmlformats.org/officeDocument/2006/relationships/table" Target="/xl/tables/table18.xml" Id="Ra96193e77d7444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9.xml" Id="R192d90440738415c" /></Relationships>
</file>

<file path=xl/worksheets/sheet1.xml><?xml version="1.0" encoding="utf-8"?>
<x:worksheet xmlns:x="http://schemas.openxmlformats.org/spreadsheetml/2006/main">
  <x:sheetFormatPr defaultColWidth="12.5546875" defaultRowHeight="13.199999809265137"/>
  <x:cols>
    <x:col min="1" max="1" width="18.109375" customWidth="1"/>
    <x:col min="2" max="2" width="15.33203125" customWidth="1"/>
    <x:col min="3" max="3" width="72.33203125" customWidth="1"/>
    <x:col min="4" max="4" width="12.33203125" customWidth="1"/>
    <x:col min="5" max="5" width="72.33203125" customWidth="1"/>
    <x:col min="6" max="6" width="18.5546875" customWidth="1"/>
    <x:col min="7" max="7" width="72.33203125" customWidth="1"/>
    <x:col min="8" max="8" width="18.88671875" customWidth="1"/>
    <x:col min="9" max="9" width="22.77734375" customWidth="1"/>
    <x:col min="10" max="10" width="13.88671875" customWidth="1"/>
    <x:col min="11" max="11" width="20.44140625" customWidth="1"/>
    <x:col min="12" max="16" width="18" customWidth="1"/>
    <x:col min="17" max="17" width="23.109375" customWidth="1"/>
    <x:col min="18" max="24" width="18" customWidth="1"/>
    <x:col min="25" max="25" width="23.109375" customWidth="1"/>
    <x:col min="26" max="26" width="16.44140625" customWidth="1"/>
    <x:col min="27" max="27" width="15.33203125" customWidth="1"/>
    <x:col min="28" max="28" width="10.6640625" customWidth="1"/>
    <x:col min="29" max="29" width="20.6640625" customWidth="1"/>
    <x:col min="30" max="30" width="20.109375" customWidth="1"/>
  </x:cols>
  <x:sheetData>
    <x:row r="1" ht="27.899999618530273" customHeight="1">
      <x:c r="A1" s="23" t="s">
        <x:v>0</x:v>
      </x:c>
      <x:c r="B1" s="23" t="s">
        <x:v>1</x:v>
      </x:c>
      <x:c r="C1" s="23" t="s">
        <x:v>2</x:v>
      </x:c>
      <x:c r="D1" s="23" t="s">
        <x:v>3</x:v>
      </x:c>
      <x:c r="E1" s="23" t="s">
        <x:v>4</x:v>
      </x:c>
      <x:c r="F1" s="23" t="s">
        <x:v>5</x:v>
      </x:c>
      <x:c r="G1" s="23" t="s">
        <x:v>6</x:v>
      </x:c>
      <x:c r="H1" s="1" t="s">
        <x:v>7</x:v>
      </x:c>
      <x:c r="I1" s="23" t="s">
        <x:v>8</x:v>
      </x:c>
      <x:c r="J1" s="23" t="s">
        <x:v>9</x:v>
      </x:c>
      <x:c r="K1" s="23" t="s">
        <x:v>10</x:v>
      </x:c>
      <x:c r="L1" s="21" t="s">
        <x:v>11</x:v>
      </x:c>
      <x:c r="M1" s="21" t="s">
        <x:v>12</x:v>
      </x:c>
      <x:c r="N1" s="22" t="s">
        <x:v>13</x:v>
      </x:c>
      <x:c r="O1" s="21" t="s">
        <x:v>14</x:v>
      </x:c>
      <x:c r="P1" s="21" t="s">
        <x:v>15</x:v>
      </x:c>
      <x:c r="Q1" s="21" t="s">
        <x:v>16</x:v>
      </x:c>
      <x:c r="R1" s="32" t="s">
        <x:v>17</x:v>
      </x:c>
      <x:c r="S1" s="32" t="s">
        <x:v>18</x:v>
      </x:c>
      <x:c r="T1" s="32" t="s">
        <x:v>19</x:v>
      </x:c>
      <x:c r="U1" s="32" t="s">
        <x:v>20</x:v>
      </x:c>
      <x:c r="V1" s="32" t="s">
        <x:v>21</x:v>
      </x:c>
      <x:c r="W1" s="32" t="s">
        <x:v>22</x:v>
      </x:c>
      <x:c r="X1" s="32" t="s">
        <x:v>23</x:v>
      </x:c>
      <x:c r="Y1" s="32" t="s">
        <x:v>24</x:v>
      </x:c>
      <x:c r="Z1" s="36" t="s">
        <x:v>25</x:v>
      </x:c>
      <x:c r="AA1" s="36" t="s">
        <x:v>26</x:v>
      </x:c>
      <x:c r="AB1" s="36" t="s">
        <x:v>27</x:v>
      </x:c>
      <x:c r="AC1" s="36" t="s">
        <x:v>28</x:v>
      </x:c>
      <x:c r="AD1" s="36" t="s">
        <x:v>29</x:v>
      </x:c>
    </x:row>
    <x:row r="2" ht="15.75" customHeight="1">
      <x:c r="A2" s="2">
        <x:v>1</x:v>
      </x:c>
      <x:c r="B2" s="2" t="s">
        <x:v>30</x:v>
      </x:c>
      <x:c r="C2" s="2" t="str">
        <x:f>A2&amp;"."&amp;A2&amp;"."&amp;A2&amp;".0"</x:f>
        <x:v>1.1.1.0</x:v>
      </x:c>
      <x:c r="D2" s="2" t="s">
        <x:v>31</x:v>
      </x:c>
      <x:c r="E2" s="2" t="str">
        <x:v>CHANGE_ME_LOCAL_PASSWORD</x:v>
      </x:c>
      <x:c r="F2" s="2" t="s">
        <x:v>32</x:v>
      </x:c>
      <x:c r="G2" s="2" t="str">
        <x:v>CHANGE_ME_ENABLE_SECRET</x:v>
      </x:c>
      <x:c r="H2" s="35">
        <x:v>200</x:v>
      </x:c>
      <x:c r="I2" s="2" t="str">
        <x:v>CHANGE_ME_TACACS_KEY</x:v>
      </x:c>
      <x:c r="J2" s="28" t="b">
        <x:v>1</x:v>
      </x:c>
      <x:c r="K2" s="2" t="s">
        <x:v>33</x:v>
      </x:c>
      <x:c r="L2" s="19" t="s">
        <x:v>34</x:v>
      </x:c>
      <x:c r="M2" s="19" t="s">
        <x:v>34</x:v>
      </x:c>
      <x:c r="N2" s="19" t="s">
        <x:v>35</x:v>
      </x:c>
      <x:c r="O2" s="19" t="s">
        <x:v>34</x:v>
      </x:c>
      <x:c r="P2" s="19" t="str">
        <x:v>CHANGE_ME_RADIUS_KEY</x:v>
      </x:c>
      <x:c r="Q2" s="19">
        <x:v>3</x:v>
      </x:c>
      <x:c r="R2" s="2" t="s">
        <x:v>36</x:v>
      </x:c>
      <x:c r="S2" s="2" t="s">
        <x:v>36</x:v>
      </x:c>
      <x:c r="T2" s="2" t="s">
        <x:v>37</x:v>
      </x:c>
      <x:c r="U2" s="2" t="s">
        <x:v>38</x:v>
      </x:c>
      <x:c r="V2" s="2" t="s">
        <x:v>39</x:v>
      </x:c>
      <x:c r="W2" s="2" t="s">
        <x:v>40</x:v>
      </x:c>
      <x:c r="X2" s="2" t="str">
        <x:v>AUTO</x:v>
      </x:c>
      <x:c r="Y2" s="2" t="s">
        <x:v>41</x:v>
      </x:c>
      <x:c r="Z2" s="37" t="b">
        <x:v>1</x:v>
      </x:c>
      <x:c r="AA2" s="38" t="s">
        <x:v>34</x:v>
      </x:c>
      <x:c r="AB2" s="38" t="s">
        <x:v>42</x:v>
      </x:c>
      <x:c r="AC2" s="38" t="str">
        <x:v>CHANGE_ME_SNMP_AUTH</x:v>
      </x:c>
      <x:c r="AD2" s="38" t="str">
        <x:v>CHANGE_ME_SNMP_PRIV</x:v>
      </x:c>
    </x:row>
    <x:row r="3" ht="15.75" customHeight="1">
      <x:c r="A3" s="4"/>
      <x:c r="B3" s="5"/>
      <x:c r="C3" s="4"/>
      <x:c r="D3" s="4"/>
      <x:c r="E3" s="4"/>
      <x:c r="F3" s="4"/>
      <x:c r="G3" s="4"/>
      <x:c r="H3" s="4"/>
      <x:c r="J3" s="25"/>
      <x:c r="K3" s="25"/>
    </x:row>
    <x:row r="4" ht="15.75" customHeight="1">
      <x:c r="A4" s="6" t="s">
        <x:v>43</x:v>
      </x:c>
      <x:c r="B4" s="6" t="s">
        <x:v>44</x:v>
      </x:c>
      <x:c r="C4" s="6" t="s">
        <x:v>45</x:v>
      </x:c>
      <x:c r="D4" s="6" t="s">
        <x:v>46</x:v>
      </x:c>
      <x:c r="E4" s="6" t="s">
        <x:v>47</x:v>
      </x:c>
      <x:c r="F4" s="6" t="s">
        <x:v>48</x:v>
      </x:c>
      <x:c r="G4" s="6" t="s">
        <x:v>49</x:v>
      </x:c>
      <x:c r="H4" s="6" t="s">
        <x:v>50</x:v>
      </x:c>
      <x:c r="I4" s="6" t="s">
        <x:v>51</x:v>
      </x:c>
      <x:c r="J4" s="27" t="s">
        <x:v>52</x:v>
      </x:c>
      <x:c r="K4" s="27" t="s">
        <x:v>53</x:v>
      </x:c>
    </x:row>
    <x:row r="5" ht="15.75" customHeight="1">
      <x:c r="A5" s="7" t="s">
        <x:v>54</x:v>
      </x:c>
      <x:c r="B5" s="8">
        <x:v>10</x:v>
      </x:c>
      <x:c r="C5" s="7">
        <x:v>0</x:v>
      </x:c>
      <x:c r="D5" s="7" t="str">
        <x:f>10&amp;"."&amp;$A$2&amp;"."&amp;B5&amp;".0"</x:f>
        <x:v>10.1.10.0</x:v>
      </x:c>
      <x:c r="E5" s="7" t="str">
        <x:f>10&amp;"."&amp;$A$2&amp;"."&amp;B5&amp;".1"</x:f>
        <x:v>10.1.10.1</x:v>
      </x:c>
      <x:c r="F5" s="7" t="s">
        <x:v>55</x:v>
      </x:c>
      <x:c r="G5" s="7" t="str" cm="1">
        <x:f>VALUE(LEFT(D5,FIND(".",D5)-1))&amp;"."&amp;VALUE(MID(D5,FIND(".",D5)+1,FIND(".",D5,FIND(".",D5)+1)-FIND(".",D5)-1))&amp;"."&amp;VALUE(MID(D5,FIND(".",D5,FIND(".",D5)+1)+1,FIND(".",D5,FIND(".",D5,FIND(".",D5)+1)+1)-FIND(".",D5,FIND(".",D5)+1)-1))&amp;"."&amp;(VALUE(RIGHT(D5,LEN(D5)-FIND(".",D5,FIND(".",D5,FIND(".",D5)+1)+1)))+1)</x:f>
        <x:v>10.1.10.1</x:v>
      </x:c>
      <x:c r="H5" s="7" t="str" cm="1">
        <x:f>(VALUE(LEFT(D5,FIND(".",D5)-1))+255-VALUE(LEFT(F5,FIND(".",F5)-1)))&amp;"."&amp;(VALUE(MID(D5,FIND(".",D5)+1,FIND(".",D5,FIND(".",D5)+1)-FIND(".",D5)-1))+255-VALUE(MID(F5,FIND(".",F5)+1,FIND(".",F5,FIND(".",F5)+1)-FIND(".",F5)-1)))&amp;"."&amp;(VALUE(MID(D5,FIND(".",D5,FIND(".",D5)+1)+1,FIND(".",D5,FIND(".",D5,FIND(".",D5)+1)+1)-FIND(".",D5,FIND(".",D5)+1)-1))+255-VALUE(MID(F5,FIND(".",F5,FIND(".",F5)+1)+1,FIND(".",F5,FIND(".",F5,FIND(".",F5)+1)+1)-FIND(".",F5,FIND(".",F5)+1)-1)))&amp;"."&amp;(VALUE(RIGHT(D5,LEN(D5)-FIND(".",D5,FIND(".",D5,FIND(".",D5)+1)+1)))+255-VALUE(RIGHT(F5,LEN(F5)-FIND(".",F5,FIND(".",F5,FIND(".",F5)+1)+1)))-1)</x:f>
        <x:v>10.1.10.254</x:v>
      </x:c>
      <x:c r="I5" s="7">
        <x:v>40</x:v>
      </x:c>
      <x:c r="J5" s="9">
        <x:v>21</x:v>
      </x:c>
      <x:c r="K5" s="9">
        <x:v>5</x:v>
      </x:c>
    </x:row>
    <x:row r="6" ht="15.75" customHeight="1">
      <x:c r="A6" s="7" t="s">
        <x:v>56</x:v>
      </x:c>
      <x:c r="B6" s="8">
        <x:v>20</x:v>
      </x:c>
      <x:c r="C6" s="7">
        <x:v>0</x:v>
      </x:c>
      <x:c r="D6" s="7" t="str">
        <x:f>10&amp;"."&amp;$A$2&amp;"."&amp;B6&amp;".0"</x:f>
        <x:v>10.1.20.0</x:v>
      </x:c>
      <x:c r="E6" s="7" t="str">
        <x:f t="shared" ref="E6:E7" si="0">10&amp;"."&amp;$A$2&amp;"."&amp;B6&amp;".1"</x:f>
        <x:v>10.1.20.1</x:v>
      </x:c>
      <x:c r="F6" s="7" t="s">
        <x:v>55</x:v>
      </x:c>
      <x:c r="G6" s="7" t="str">
        <x:f t="shared" ref="G6:G7" si="1">VALUE(LEFT(D6,FIND(".",D6)-1))&amp;"."&amp;VALUE(MID(D6,FIND(".",D6)+1,FIND(".",D6,FIND(".",D6)+1)-FIND(".",D6)-1))&amp;"."&amp;VALUE(MID(D6,FIND(".",D6,FIND(".",D6)+1)+1,FIND(".",D6,FIND(".",D6,FIND(".",D6)+1)+1)-FIND(".",D6,FIND(".",D6)+1)-1))&amp;"."&amp;(VALUE(RIGHT(D6,LEN(D6)-FIND(".",D6,FIND(".",D6,FIND(".",D6)+1)+1)))+1)</x:f>
        <x:v>10.1.20.1</x:v>
      </x:c>
      <x:c r="H6" s="7" t="str" cm="1">
        <x:f>(VALUE(LEFT(D6,FIND(".",D6)-1))+255-VALUE(LEFT(F6,FIND(".",F6)-1)))&amp;"."&amp;(VALUE(MID(D6,FIND(".",D6)+1,FIND(".",D6,FIND(".",D6)+1)-FIND(".",D6)-1))+255-VALUE(MID(F6,FIND(".",F6)+1,FIND(".",F6,FIND(".",F6)+1)-FIND(".",F6)-1)))&amp;"."&amp;(VALUE(MID(D6,FIND(".",D6,FIND(".",D6)+1)+1,FIND(".",D6,FIND(".",D6,FIND(".",D6)+1)+1)-FIND(".",D6,FIND(".",D6)+1)-1))+255-VALUE(MID(F6,FIND(".",F6,FIND(".",F6)+1)+1,FIND(".",F6,FIND(".",F6,FIND(".",F6)+1)+1)-FIND(".",F6,FIND(".",F6)+1)-1)))&amp;"."&amp;(VALUE(RIGHT(D6,LEN(D6)-FIND(".",D6,FIND(".",D6,FIND(".",D6)+1)+1)))+255-VALUE(RIGHT(F6,LEN(F6)-FIND(".",F6,FIND(".",F6,FIND(".",F6)+1)+1)))-1)</x:f>
        <x:v>10.1.20.254</x:v>
      </x:c>
      <x:c r="I6" s="7">
        <x:v>40</x:v>
      </x:c>
      <x:c r="J6" s="9">
        <x:v>11</x:v>
      </x:c>
      <x:c r="K6" s="9">
        <x:v>2</x:v>
      </x:c>
    </x:row>
    <x:row r="7" ht="15.75" customHeight="1">
      <x:c r="A7" s="7" t="s">
        <x:v>57</x:v>
      </x:c>
      <x:c r="B7" s="8">
        <x:v>30</x:v>
      </x:c>
      <x:c r="C7" s="7">
        <x:v>0</x:v>
      </x:c>
      <x:c r="D7" s="7" t="str">
        <x:f>10&amp;"."&amp;$A$2&amp;"."&amp;B7&amp;".0"</x:f>
        <x:v>10.1.30.0</x:v>
      </x:c>
      <x:c r="E7" s="7" t="str">
        <x:f t="shared" si="0"/>
        <x:v>10.1.30.1</x:v>
      </x:c>
      <x:c r="F7" s="7" t="s">
        <x:v>55</x:v>
      </x:c>
      <x:c r="G7" s="7" t="str">
        <x:f t="shared" si="1"/>
        <x:v>10.1.30.1</x:v>
      </x:c>
      <x:c r="H7" s="7" t="str" cm="1">
        <x:f>(VALUE(LEFT(D7,FIND(".",D7)-1))+255-VALUE(LEFT(F7,FIND(".",F7)-1)))&amp;"."&amp;(VALUE(MID(D7,FIND(".",D7)+1,FIND(".",D7,FIND(".",D7)+1)-FIND(".",D7)-1))+255-VALUE(MID(F7,FIND(".",F7)+1,FIND(".",F7,FIND(".",F7)+1)-FIND(".",F7)-1)))&amp;"."&amp;(VALUE(MID(D7,FIND(".",D7,FIND(".",D7)+1)+1,FIND(".",D7,FIND(".",D7,FIND(".",D7)+1)+1)-FIND(".",D7,FIND(".",D7)+1)-1))+255-VALUE(MID(F7,FIND(".",F7,FIND(".",F7)+1)+1,FIND(".",F7,FIND(".",F7,FIND(".",F7)+1)+1)-FIND(".",F7,FIND(".",F7)+1)-1)))&amp;"."&amp;(VALUE(RIGHT(D7,LEN(D7)-FIND(".",D7,FIND(".",D7,FIND(".",D7)+1)+1)))+255-VALUE(RIGHT(F7,LEN(F7)-FIND(".",F7,FIND(".",F7,FIND(".",F7)+1)+1)))-1)</x:f>
        <x:v>10.1.30.254</x:v>
      </x:c>
      <x:c r="I7" s="7">
        <x:v>40</x:v>
      </x:c>
      <x:c r="J7">
        <x:v>42</x:v>
      </x:c>
      <x:c r="K7">
        <x:v>7</x:v>
      </x:c>
    </x:row>
    <x:row r="8" ht="15.75" customHeight="1">
      <x:c r="A8" s="7" t="s">
        <x:v>58</x:v>
      </x:c>
      <x:c r="B8" s="8">
        <x:v>40</x:v>
      </x:c>
      <x:c r="C8" s="7">
        <x:v>0</x:v>
      </x:c>
      <x:c r="D8" s="7" t="str">
        <x:f>10&amp;"."&amp;$A$2&amp;"."&amp;B8&amp;".0"</x:f>
        <x:v>10.1.40.0</x:v>
      </x:c>
      <x:c r="E8" s="7" t="str">
        <x:f t="shared" ref="E8" si="2">10&amp;"."&amp;$A$2&amp;"."&amp;B8&amp;".1"</x:f>
        <x:v>10.1.40.1</x:v>
      </x:c>
      <x:c r="F8" s="7" t="s">
        <x:v>55</x:v>
      </x:c>
      <x:c r="G8" s="7" t="str">
        <x:f t="shared" ref="G8" si="3">VALUE(LEFT(D8,FIND(".",D8)-1))&amp;"."&amp;VALUE(MID(D8,FIND(".",D8)+1,FIND(".",D8,FIND(".",D8)+1)-FIND(".",D8)-1))&amp;"."&amp;VALUE(MID(D8,FIND(".",D8,FIND(".",D8)+1)+1,FIND(".",D8,FIND(".",D8,FIND(".",D8)+1)+1)-FIND(".",D8,FIND(".",D8)+1)-1))&amp;"."&amp;(VALUE(RIGHT(D8,LEN(D8)-FIND(".",D8,FIND(".",D8,FIND(".",D8)+1)+1)))+1)</x:f>
        <x:v>10.1.40.1</x:v>
      </x:c>
      <x:c r="H8" s="7" t="str">
        <x:f>(VALUE(LEFT(D8,FIND(".",D8)-1))+255-VALUE(LEFT(F8,FIND(".",F8)-1)))&amp;"."&amp;(VALUE(MID(D8,FIND(".",D8)+1,FIND(".",D8,FIND(".",D8)+1)-FIND(".",D8)-1))+255-VALUE(MID(F8,FIND(".",F8)+1,FIND(".",F8,FIND(".",F8)+1)-FIND(".",F8)-1)))&amp;"."&amp;(VALUE(MID(D8,FIND(".",D8,FIND(".",D8)+1)+1,FIND(".",D8,FIND(".",D8,FIND(".",D8)+1)+1)-FIND(".",D8,FIND(".",D8)+1)-1))+255-VALUE(MID(F8,FIND(".",F8,FIND(".",F8)+1)+1,FIND(".",F8,FIND(".",F8,FIND(".",F8)+1)+1)-FIND(".",F8,FIND(".",F8)+1)-1)))&amp;"."&amp;(VALUE(RIGHT(D8,LEN(D8)-FIND(".",D8,FIND(".",D8,FIND(".",D8)+1)+1)))+255-VALUE(RIGHT(F8,LEN(F8)-FIND(".",F8,FIND(".",F8,FIND(".",F8)+1)+1)))-1)</x:f>
        <x:v>10.1.40.254</x:v>
      </x:c>
      <x:c r="I8" s="7">
        <x:v>40</x:v>
      </x:c>
      <x:c r="J8">
        <x:v>41</x:v>
      </x:c>
      <x:c r="K8">
        <x:v>10</x:v>
      </x:c>
    </x:row>
    <x:row r="9" ht="15.75" customHeight="1">
      <x:c r="A9" s="45" t="s">
        <x:v>59</x:v>
      </x:c>
      <x:c r="B9" s="8">
        <x:v>50</x:v>
      </x:c>
      <x:c r="C9" s="7">
        <x:v>0</x:v>
      </x:c>
      <x:c r="D9" s="7" t="str">
        <x:f>10&amp;"."&amp;$A$2&amp;"."&amp;B9&amp;".0"</x:f>
        <x:v>10.1.50.0</x:v>
      </x:c>
      <x:c r="E9" s="7" t="str">
        <x:f t="shared" ref="E9" si="4">10&amp;"."&amp;$A$2&amp;"."&amp;B9&amp;".1"</x:f>
        <x:v>10.1.50.1</x:v>
      </x:c>
      <x:c r="F9" s="7" t="s">
        <x:v>55</x:v>
      </x:c>
      <x:c r="G9" s="7" t="str">
        <x:f t="shared" ref="G9" si="5">VALUE(LEFT(D9,FIND(".",D9)-1))&amp;"."&amp;VALUE(MID(D9,FIND(".",D9)+1,FIND(".",D9,FIND(".",D9)+1)-FIND(".",D9)-1))&amp;"."&amp;VALUE(MID(D9,FIND(".",D9,FIND(".",D9)+1)+1,FIND(".",D9,FIND(".",D9,FIND(".",D9)+1)+1)-FIND(".",D9,FIND(".",D9)+1)-1))&amp;"."&amp;(VALUE(RIGHT(D9,LEN(D9)-FIND(".",D9,FIND(".",D9,FIND(".",D9)+1)+1)))+1)</x:f>
        <x:v>10.1.50.1</x:v>
      </x:c>
      <x:c r="H9" s="7" t="str">
        <x:f>(VALUE(LEFT(D9,FIND(".",D9)-1))+255-VALUE(LEFT(F9,FIND(".",F9)-1)))&amp;"."&amp;(VALUE(MID(D9,FIND(".",D9)+1,FIND(".",D9,FIND(".",D9)+1)-FIND(".",D9)-1))+255-VALUE(MID(F9,FIND(".",F9)+1,FIND(".",F9,FIND(".",F9)+1)-FIND(".",F9)-1)))&amp;"."&amp;(VALUE(MID(D9,FIND(".",D9,FIND(".",D9)+1)+1,FIND(".",D9,FIND(".",D9,FIND(".",D9)+1)+1)-FIND(".",D9,FIND(".",D9)+1)-1))+255-VALUE(MID(F9,FIND(".",F9,FIND(".",F9)+1)+1,FIND(".",F9,FIND(".",F9,FIND(".",F9)+1)+1)-FIND(".",F9,FIND(".",F9)+1)-1)))&amp;"."&amp;(VALUE(RIGHT(D9,LEN(D9)-FIND(".",D9,FIND(".",D9,FIND(".",D9)+1)+1)))+255-VALUE(RIGHT(F9,LEN(F9)-FIND(".",F9,FIND(".",F9,FIND(".",F9)+1)+1)))-1)</x:f>
        <x:v>10.1.50.254</x:v>
      </x:c>
      <x:c r="I9" s="45">
        <x:v>40</x:v>
      </x:c>
      <x:c r="J9">
        <x:v>41</x:v>
      </x:c>
      <x:c r="K9">
        <x:v>10</x:v>
      </x:c>
    </x:row>
    <x:row r="10" ht="15.75" customHeight="1">
      <x:c r="A10" s="3"/>
      <x:c r="B10" s="3"/>
    </x:row>
    <x:row r="11" ht="15.75" customHeight="1">
      <x:c r="A11" s="6" t="s">
        <x:v>43</x:v>
      </x:c>
      <x:c r="B11" s="6" t="s">
        <x:v>60</x:v>
      </x:c>
      <x:c r="C11" s="6" t="s">
        <x:v>61</x:v>
      </x:c>
    </x:row>
    <x:row r="12" ht="15.75" customHeight="1">
      <x:c r="A12" s="7" t="s">
        <x:v>54</x:v>
      </x:c>
      <x:c r="B12" s="7">
        <x:v>10</x:v>
      </x:c>
      <x:c r="C12" s="7" t="str">
        <x:f>$A$2&amp;"."&amp;$A$2&amp;"."&amp;$A$2&amp;"."&amp;B12</x:f>
        <x:v>1.1.1.10</x:v>
      </x:c>
    </x:row>
    <x:row r="13" ht="15.75" customHeight="1">
      <x:c r="A13" s="7" t="s">
        <x:v>56</x:v>
      </x:c>
      <x:c r="B13" s="7">
        <x:v>20</x:v>
      </x:c>
      <x:c r="C13" s="7" t="str">
        <x:f t="shared" ref="C13:C15" si="6">$A$2&amp;"."&amp;$A$2&amp;"."&amp;$A$2&amp;"."&amp;B13</x:f>
        <x:v>1.1.1.20</x:v>
      </x:c>
    </x:row>
    <x:row r="14" ht="15.75" customHeight="1">
      <x:c r="A14" s="7" t="s">
        <x:v>57</x:v>
      </x:c>
      <x:c r="B14" s="7">
        <x:v>30</x:v>
      </x:c>
      <x:c r="C14" s="7" t="str">
        <x:f t="shared" si="6"/>
        <x:v>1.1.1.30</x:v>
      </x:c>
    </x:row>
    <x:row r="15" ht="15.75" customHeight="1">
      <x:c r="A15" s="7" t="s">
        <x:v>58</x:v>
      </x:c>
      <x:c r="B15" s="7">
        <x:v>40</x:v>
      </x:c>
      <x:c r="C15" s="7" t="str">
        <x:f t="shared" si="6"/>
        <x:v>1.1.1.40</x:v>
      </x:c>
    </x:row>
    <x:row r="16" ht="15.75" customHeight="1">
      <x:c r="A16" s="42" t="s">
        <x:v>59</x:v>
      </x:c>
      <x:c r="B16" s="7">
        <x:v>50</x:v>
      </x:c>
      <x:c r="C16" s="7" t="str">
        <x:f t="shared" ref="C16" si="7">$A$2&amp;"."&amp;$A$2&amp;"."&amp;$A$2&amp;"."&amp;B16</x:f>
        <x:v>1.1.1.50</x:v>
      </x:c>
    </x:row>
    <x:row r="17" ht="15.75" customHeight="1"/>
    <x:row r="18" ht="15.75" customHeight="1">
      <x:c r="A18" s="6" t="s">
        <x:v>62</x:v>
      </x:c>
      <x:c r="B18" s="6" t="s">
        <x:v>43</x:v>
      </x:c>
      <x:c r="C18" s="6" t="s">
        <x:v>63</x:v>
      </x:c>
      <x:c r="D18" s="6" t="s">
        <x:v>48</x:v>
      </x:c>
      <x:c r="E18" s="6" t="s">
        <x:v>64</x:v>
      </x:c>
      <x:c r="F18" s="6" t="s">
        <x:v>65</x:v>
      </x:c>
      <x:c r="G18" s="6" t="s">
        <x:v>66</x:v>
      </x:c>
      <x:c r="H18" s="1" t="s">
        <x:v>67</x:v>
      </x:c>
      <x:c r="I18" s="1" t="s">
        <x:v>68</x:v>
      </x:c>
      <x:c r="J18" s="1" t="s">
        <x:v>69</x:v>
      </x:c>
    </x:row>
    <x:row r="19" ht="15.75" customHeight="1">
      <x:c r="A19" s="7" t="s">
        <x:v>70</x:v>
      </x:c>
      <x:c r="B19" s="7" t="s">
        <x:v>54</x:v>
      </x:c>
      <x:c r="C19" s="7" t="str">
        <x:f>172&amp;"."&amp;16&amp;"."&amp;H19&amp;"."&amp;$A$2</x:f>
        <x:v>172.16.10.1</x:v>
      </x:c>
      <x:c r="D19" s="7" t="s">
        <x:v>55</x:v>
      </x:c>
      <x:c r="E19" s="7" t="str">
        <x:f>$C$2</x:f>
        <x:v>1.1.1.0</x:v>
      </x:c>
      <x:c r="F19" s="7"/>
      <x:c r="G19" s="7" t="s">
        <x:v>71</x:v>
      </x:c>
      <x:c r="H19" s="2">
        <x:v>10</x:v>
      </x:c>
      <x:c r="I19" s="28" t="b">
        <x:v>1</x:v>
      </x:c>
      <x:c r="J19" s="2"/>
    </x:row>
    <x:row r="20" ht="15.75" customHeight="1">
      <x:c r="A20" s="7" t="s">
        <x:v>72</x:v>
      </x:c>
      <x:c r="B20" s="7" t="s">
        <x:v>56</x:v>
      </x:c>
      <x:c r="C20" s="7" t="str">
        <x:f>172&amp;"."&amp;16&amp;"."&amp;H20&amp;"."&amp;$A$2</x:f>
        <x:v>172.16.20.1</x:v>
      </x:c>
      <x:c r="D20" s="7" t="s">
        <x:v>55</x:v>
      </x:c>
      <x:c r="E20" s="7" t="str">
        <x:f>$C$2</x:f>
        <x:v>1.1.1.0</x:v>
      </x:c>
      <x:c r="F20" s="7"/>
      <x:c r="G20" s="7" t="s">
        <x:v>71</x:v>
      </x:c>
      <x:c r="H20" s="2">
        <x:v>20</x:v>
      </x:c>
      <x:c r="I20" s="28" t="b">
        <x:v>0</x:v>
      </x:c>
      <x:c r="J20" s="2"/>
    </x:row>
    <x:row r="21" ht="15.75" customHeight="1">
      <x:c r="A21" s="7" t="s">
        <x:v>73</x:v>
      </x:c>
      <x:c r="B21" s="7" t="s">
        <x:v>57</x:v>
      </x:c>
      <x:c r="C21" s="7" t="str">
        <x:f>172&amp;"."&amp;16&amp;"."&amp;H21&amp;"."&amp;$A$2</x:f>
        <x:v>172.16.30.1</x:v>
      </x:c>
      <x:c r="D21" s="7" t="s">
        <x:v>55</x:v>
      </x:c>
      <x:c r="E21" s="7" t="str">
        <x:f>$C$2</x:f>
        <x:v>1.1.1.0</x:v>
      </x:c>
      <x:c r="F21" s="7"/>
      <x:c r="G21" s="7" t="s">
        <x:v>71</x:v>
      </x:c>
      <x:c r="H21" s="2">
        <x:v>30</x:v>
      </x:c>
      <x:c r="I21" s="28" t="b">
        <x:v>1</x:v>
      </x:c>
      <x:c r="J21" s="2"/>
    </x:row>
    <x:row r="22" ht="15.75" customHeight="1">
      <x:c r="A22" s="7" t="s">
        <x:v>74</x:v>
      </x:c>
      <x:c r="B22" s="7" t="s">
        <x:v>58</x:v>
      </x:c>
      <x:c r="C22" s="7" t="str">
        <x:f>172&amp;"."&amp;16&amp;"."&amp;H22&amp;"."&amp;$A$2</x:f>
        <x:v>172.16.40.1</x:v>
      </x:c>
      <x:c r="D22" s="7" t="s">
        <x:v>55</x:v>
      </x:c>
      <x:c r="E22" s="7" t="str">
        <x:f>$C$2</x:f>
        <x:v>1.1.1.0</x:v>
      </x:c>
      <x:c r="F22" s="7"/>
      <x:c r="G22" s="7" t="s">
        <x:v>71</x:v>
      </x:c>
      <x:c r="H22" s="2">
        <x:v>40</x:v>
      </x:c>
      <x:c r="I22" s="28" t="b">
        <x:v>1</x:v>
      </x:c>
      <x:c r="J22" s="2"/>
    </x:row>
    <x:row r="23" ht="15.75" customHeight="1">
      <x:c r="A23" s="42" t="s">
        <x:v>75</x:v>
      </x:c>
      <x:c r="B23" s="45" t="s">
        <x:v>59</x:v>
      </x:c>
      <x:c r="C23" s="7" t="str">
        <x:f>172&amp;"."&amp;16&amp;"."&amp;H23&amp;"."&amp;$A$2</x:f>
        <x:v>172.16.50.1</x:v>
      </x:c>
      <x:c r="D23" s="7" t="s">
        <x:v>55</x:v>
      </x:c>
      <x:c r="E23" s="7" t="str">
        <x:f>$C$2</x:f>
        <x:v>1.1.1.0</x:v>
      </x:c>
      <x:c r="F23" s="7"/>
      <x:c r="G23" s="7" t="s">
        <x:v>71</x:v>
      </x:c>
      <x:c r="H23" s="2">
        <x:v>50</x:v>
      </x:c>
      <x:c r="I23" s="28" t="b">
        <x:v>1</x:v>
      </x:c>
      <x:c r="J23" s="2"/>
    </x:row>
    <x:row r="24" ht="15.75" customHeight="1">
      <x:c r="A24" s="11"/>
      <x:c r="B24" s="11"/>
      <x:c r="C24" s="11"/>
      <x:c r="D24" s="11"/>
      <x:c r="E24" s="11"/>
      <x:c r="F24" s="11"/>
      <x:c r="G24" s="11"/>
    </x:row>
    <x:row r="25" ht="15.75" customHeight="1">
      <x:c r="A25" s="1" t="s">
        <x:v>0</x:v>
      </x:c>
      <x:c r="B25" s="1" t="s">
        <x:v>3</x:v>
      </x:c>
      <x:c r="C25" s="1" t="s">
        <x:v>4</x:v>
      </x:c>
      <x:c r="D25" s="1" t="s">
        <x:v>5</x:v>
      </x:c>
      <x:c r="E25" s="1" t="s">
        <x:v>6</x:v>
      </x:c>
      <x:c r="F25" s="1" t="s">
        <x:v>76</x:v>
      </x:c>
      <x:c r="G25" s="1" t="s">
        <x:v>77</x:v>
      </x:c>
      <x:c r="H25" s="1" t="s">
        <x:v>78</x:v>
      </x:c>
      <x:c r="I25" s="1" t="s">
        <x:v>7</x:v>
      </x:c>
    </x:row>
    <x:row r="26" ht="28.649999618530273" customHeight="1">
      <x:c r="A26" s="2" t="n">
        <x:f>$A$2</x:f>
        <x:v>1</x:v>
      </x:c>
      <x:c r="B26" s="2" t="str">
        <x:f>$D$2</x:f>
        <x:v>admin</x:v>
      </x:c>
      <x:c r="C26" s="2" t="str">
        <x:v>CHANGE_ME_LOCAL_PASSWORD</x:v>
      </x:c>
      <x:c r="D26" s="2" t="str">
        <x:f>$F$2</x:f>
        <x:v>0 - 15</x:v>
      </x:c>
      <x:c r="E26" s="2" t="str">
        <x:v>CHANGE_ME_ENABLE_SECRET</x:v>
      </x:c>
      <x:c r="F26" s="2">
        <x:v>2</x:v>
      </x:c>
      <x:c r="G26" s="2" t="s">
        <x:v>79</x:v>
      </x:c>
      <x:c r="H26" s="46" t="s">
        <x:v>80</x:v>
      </x:c>
      <x:c r="I26" s="35" t="n" cm="1">
        <x:f t="array" ref="I26">Tabell5[ISP-VLAN]</x:f>
        <x:v>200</x:v>
      </x:c>
    </x:row>
    <x:row r="27" ht="15.75" customHeight="1"/>
    <x:row r="28" ht="27.899999618530273" customHeight="1">
      <x:c r="A28" s="13" t="s">
        <x:v>81</x:v>
      </x:c>
      <x:c r="B28" s="13" t="s">
        <x:v>82</x:v>
      </x:c>
      <x:c r="C28" s="13" t="s">
        <x:v>83</x:v>
      </x:c>
      <x:c r="D28" s="13" t="s">
        <x:v>47</x:v>
      </x:c>
      <x:c r="E28" s="13" t="s">
        <x:v>48</x:v>
      </x:c>
      <x:c r="F28" s="13" t="s">
        <x:v>84</x:v>
      </x:c>
      <x:c r="G28" s="13" t="s">
        <x:v>85</x:v>
      </x:c>
      <x:c r="H28" s="13" t="s">
        <x:v>86</x:v>
      </x:c>
      <x:c r="I28" s="13" t="s">
        <x:v>87</x:v>
      </x:c>
      <x:c r="J28" s="13" t="s">
        <x:v>1</x:v>
      </x:c>
      <x:c r="K28" s="13" t="s">
        <x:v>88</x:v>
      </x:c>
      <x:c r="L28" s="25" t="s">
        <x:v>89</x:v>
      </x:c>
      <x:c r="M28" s="1" t="s">
        <x:v>17</x:v>
      </x:c>
      <x:c r="N28" s="1" t="s">
        <x:v>18</x:v>
      </x:c>
      <x:c r="O28" s="1" t="s">
        <x:v>19</x:v>
      </x:c>
      <x:c r="P28" s="1" t="s">
        <x:v>23</x:v>
      </x:c>
      <x:c r="Q28" s="1" t="s">
        <x:v>24</x:v>
      </x:c>
    </x:row>
    <x:row r="29" ht="45" customHeight="1">
      <x:c r="A29" s="7" t="n">
        <x:f>ROW()-28</x:f>
        <x:v>1</x:v>
      </x:c>
      <x:c r="B29" s="7" t="n">
        <x:f>$B$5</x:f>
        <x:v>10</x:v>
      </x:c>
      <x:c r="C29" s="7" t="str">
        <x:f>10&amp;"."&amp;$A$2&amp;"."&amp;$B$5&amp;"."&amp;(A29+1)</x:f>
        <x:v>10.1.10.2</x:v>
      </x:c>
      <x:c r="D29" s="7" t="str">
        <x:f>$E$5</x:f>
        <x:v>10.1.10.1</x:v>
      </x:c>
      <x:c r="E29" s="7" t="str">
        <x:f>$F$5</x:f>
        <x:v>255.255.255.0</x:v>
      </x:c>
      <x:c r="F29" s="7">
        <x:v>25</x:v>
      </x:c>
      <x:c r="G29" s="7">
        <x:v>1</x:v>
      </x:c>
      <x:c r="H29" s="10">
        <x:v>0</x:v>
      </x:c>
      <x:c r="I29" s="7" t="s">
        <x:v>90</x:v>
      </x:c>
      <x:c r="J29" s="2" t="s">
        <x:v>30</x:v>
      </x:c>
      <x:c r="K29" s="2" t="n">
        <x:f>IF($A29=1,F29-G29-H29*$F$26-2-IF($L$2&lt;&gt;$M$2,1,0)-IF(OR(UPPER($G$26)="SPAN",UPPER($G$26)="ERSPAN",UPPER($G$26)="RSPAN"),1,0),F29-G29-(1+H29)*$F$26-1)</x:f>
        <x:v>21</x:v>
      </x:c>
      <x:c r="M29" s="31"/>
      <x:c r="N29" s="31"/>
      <x:c r="O29" s="31"/>
      <x:c r="P29" s="31"/>
      <x:c r="Q29" s="31"/>
    </x:row>
    <x:row r="30" ht="15.75" customHeight="1">
      <x:c r="M30" s="31"/>
      <x:c r="N30" s="31"/>
      <x:c r="O30" s="31"/>
      <x:c r="P30" s="31"/>
      <x:c r="Q30" s="31"/>
    </x:row>
    <x:row r="31" ht="15.75" customHeight="1">
      <x:c r="M31" s="31"/>
      <x:c r="N31" s="31"/>
      <x:c r="O31" s="31"/>
      <x:c r="P31" s="31"/>
      <x:c r="Q31" s="31"/>
    </x:row>
    <x:row r="32" ht="15.75" customHeight="1">
      <x:c r="M32" s="31"/>
      <x:c r="N32" s="31"/>
      <x:c r="O32" s="31"/>
      <x:c r="P32" s="31"/>
      <x:c r="Q32" s="31"/>
    </x:row>
    <x:row r="33" ht="15.75" customHeight="1">
      <x:c r="M33" s="31"/>
      <x:c r="N33" s="31"/>
      <x:c r="O33" s="31"/>
      <x:c r="P33" s="31"/>
      <x:c r="Q33" s="31"/>
    </x:row>
    <x:row r="34" ht="15.75" customHeight="1">
      <x:c r="M34" s="31"/>
      <x:c r="N34" s="31"/>
      <x:c r="O34" s="31"/>
      <x:c r="P34" s="31"/>
      <x:c r="Q34" s="31"/>
    </x:row>
    <x:row r="35" ht="15.75" customHeight="1">
      <x:c r="M35" s="31"/>
      <x:c r="N35" s="31"/>
      <x:c r="O35" s="31"/>
      <x:c r="P35" s="31"/>
      <x:c r="Q35" s="31"/>
    </x:row>
    <x:row r="36" ht="15.75" customHeight="1">
      <x:c r="M36" s="31"/>
      <x:c r="N36" s="31"/>
      <x:c r="O36" s="31"/>
      <x:c r="P36" s="31"/>
      <x:c r="Q36" s="31"/>
    </x:row>
    <x:row r="37" ht="15.75" customHeight="1">
      <x:c r="M37" s="31"/>
      <x:c r="N37" s="31"/>
      <x:c r="O37" s="31"/>
      <x:c r="P37" s="31"/>
      <x:c r="Q37" s="31"/>
    </x:row>
    <x:row r="38" ht="15.75" customHeight="1">
      <x:c r="M38" s="31"/>
      <x:c r="N38" s="31"/>
      <x:c r="O38" s="31"/>
      <x:c r="P38" s="31"/>
      <x:c r="Q38" s="31"/>
    </x:row>
    <x:row r="39" ht="15.75" customHeight="1">
      <x:c r="M39" s="31"/>
      <x:c r="N39" s="31"/>
      <x:c r="O39" s="31"/>
      <x:c r="P39" s="31"/>
      <x:c r="Q39" s="31"/>
    </x:row>
    <x:row r="40" ht="15.75" customHeight="1">
      <x:c r="M40" s="31"/>
      <x:c r="N40" s="31"/>
      <x:c r="O40" s="31"/>
      <x:c r="P40" s="31"/>
      <x:c r="Q40" s="31"/>
    </x:row>
    <x:row r="41" ht="15.75" customHeight="1">
      <x:c r="M41" s="31"/>
      <x:c r="N41" s="31"/>
      <x:c r="O41" s="31"/>
      <x:c r="P41" s="31"/>
      <x:c r="Q41" s="31"/>
    </x:row>
    <x:row r="42" ht="15.75" customHeight="1">
      <x:c r="M42" s="31"/>
      <x:c r="N42" s="31"/>
      <x:c r="O42" s="31"/>
      <x:c r="P42" s="31"/>
      <x:c r="Q42" s="31"/>
    </x:row>
    <x:row r="43" ht="15.75" customHeight="1">
      <x:c r="M43" s="31"/>
      <x:c r="N43" s="31"/>
      <x:c r="O43" s="31"/>
      <x:c r="P43" s="31"/>
      <x:c r="Q43" s="31"/>
    </x:row>
    <x:row r="44" ht="15.75" customHeight="1">
      <x:c r="M44" s="31"/>
      <x:c r="N44" s="31"/>
      <x:c r="O44" s="31"/>
      <x:c r="P44" s="31"/>
      <x:c r="Q44" s="31"/>
    </x:row>
    <x:row r="45" ht="15.75" customHeight="1">
      <x:c r="M45" s="31"/>
      <x:c r="N45" s="31"/>
      <x:c r="O45" s="31"/>
      <x:c r="P45" s="31"/>
      <x:c r="Q45" s="31"/>
    </x:row>
    <x:row r="46" ht="15.75" customHeight="1">
      <x:c r="M46" s="31"/>
      <x:c r="N46" s="31"/>
      <x:c r="O46" s="31"/>
      <x:c r="P46" s="31"/>
      <x:c r="Q46" s="31"/>
    </x:row>
    <x:row r="47" ht="15.75" customHeight="1">
      <x:c r="M47" s="31"/>
      <x:c r="N47" s="31"/>
      <x:c r="O47" s="31"/>
      <x:c r="P47" s="31"/>
      <x:c r="Q47" s="31"/>
    </x:row>
    <x:row r="48" ht="15.75" customHeight="1">
      <x:c r="M48" s="31"/>
      <x:c r="N48" s="31"/>
      <x:c r="O48" s="31"/>
      <x:c r="P48" s="31"/>
      <x:c r="Q48" s="31"/>
    </x:row>
    <x:row r="49" ht="15.75" customHeight="1">
      <x:c r="M49" s="31"/>
      <x:c r="N49" s="31"/>
      <x:c r="O49" s="31"/>
      <x:c r="P49" s="31"/>
      <x:c r="Q49" s="31"/>
    </x:row>
    <x:row r="50" ht="15.75" customHeight="1">
      <x:c r="M50" s="31"/>
      <x:c r="N50" s="31"/>
      <x:c r="O50" s="31"/>
      <x:c r="P50" s="31"/>
      <x:c r="Q50" s="31"/>
    </x:row>
    <x:row r="51" ht="15.75" customHeight="1">
      <x:c r="M51" s="31"/>
      <x:c r="N51" s="31"/>
      <x:c r="O51" s="31"/>
      <x:c r="P51" s="31"/>
      <x:c r="Q51" s="31"/>
    </x:row>
    <x:row r="52" ht="15.75" customHeight="1">
      <x:c r="M52" s="31"/>
      <x:c r="N52" s="31"/>
      <x:c r="O52" s="31"/>
      <x:c r="P52" s="31"/>
      <x:c r="Q52" s="31"/>
    </x:row>
    <x:row r="53" ht="15.75" customHeight="1">
      <x:c r="M53" s="31"/>
      <x:c r="N53" s="31"/>
      <x:c r="O53" s="31"/>
      <x:c r="P53" s="31"/>
      <x:c r="Q53" s="31"/>
    </x:row>
    <x:row r="54" ht="15.75" customHeight="1">
      <x:c r="M54" s="31"/>
      <x:c r="N54" s="31"/>
      <x:c r="O54" s="31"/>
      <x:c r="P54" s="31"/>
      <x:c r="Q54" s="31"/>
    </x:row>
    <x:row r="55" ht="15.75" customHeight="1">
      <x:c r="M55" s="31"/>
      <x:c r="N55" s="31"/>
      <x:c r="O55" s="31"/>
      <x:c r="P55" s="31"/>
      <x:c r="Q55" s="31"/>
    </x:row>
    <x:row r="56" ht="15.75" customHeight="1">
      <x:c r="M56" s="31"/>
      <x:c r="N56" s="31"/>
      <x:c r="O56" s="31"/>
      <x:c r="P56" s="31"/>
      <x:c r="Q56" s="31"/>
    </x:row>
    <x:row r="57" ht="15.75" customHeight="1">
      <x:c r="M57" s="31"/>
      <x:c r="N57" s="31"/>
      <x:c r="O57" s="31"/>
      <x:c r="P57" s="31"/>
      <x:c r="Q57" s="31"/>
    </x:row>
    <x:row r="58" ht="15.75" customHeight="1">
      <x:c r="M58" s="31"/>
      <x:c r="N58" s="31"/>
      <x:c r="O58" s="31"/>
      <x:c r="P58" s="31"/>
      <x:c r="Q58" s="31"/>
    </x:row>
    <x:row r="59" ht="15.75" customHeight="1">
      <x:c r="M59" s="31"/>
      <x:c r="N59" s="31"/>
      <x:c r="O59" s="31"/>
      <x:c r="P59" s="31"/>
      <x:c r="Q59" s="31"/>
    </x:row>
    <x:row r="60" ht="15.75" customHeight="1">
      <x:c r="M60" s="31"/>
      <x:c r="N60" s="31"/>
      <x:c r="O60" s="31"/>
      <x:c r="P60" s="31"/>
      <x:c r="Q60" s="31"/>
    </x:row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  <x:row r="1004" ht="15.75" customHeight="1"/>
  </x:sheetData>
  <x:dataValidations count="10">
    <x:dataValidation type="list" sqref="G26">
      <x:formula1>"SPAN,RSPAN,ERSPAN"</x:formula1>
    </x:dataValidation>
    <x:dataValidation type="custom" allowBlank="1" showInputMessage="1" showErrorMessage="1" sqref="I29">
      <x:formula1>IF(I29="",TRUE,SUM(--_xlfn.TEXTAFTER(_xlfn.TEXTSPLIT(I29,"-"),"."))&lt;=K29)</x:formula1>
    </x:dataValidation>
    <x:dataValidation type="list" sqref="N2">
      <x:formula1>"OFF,STRICT,LOOSE"</x:formula1>
    </x:dataValidation>
    <x:dataValidation type="list" sqref="Q2">
      <x:formula1>"2,3"</x:formula1>
    </x:dataValidation>
    <x:dataValidation type="list" sqref="M29:N60 V2 R2:S2">
      <x:formula1>"OLD,NEW"</x:formula1>
    </x:dataValidation>
    <x:dataValidation type="list" sqref="T2 O29:O60">
      <x:formula1>"LEGACY,AUTH,ACCESS_SESSION"</x:formula1>
    </x:dataValidation>
    <x:dataValidation type="list" sqref="U2">
      <x:formula1>"CLASSIC,NAMED"</x:formula1>
    </x:dataValidation>
    <x:dataValidation type="list" sqref="W2">
      <x:formula1>"IKEV1,IKEV2"</x:formula1>
    </x:dataValidation>
    <x:dataValidation type="list" sqref="X2 P29:P60">
      <x:formula1>"AUTO,5,8,9"</x:formula1>
    </x:dataValidation>
    <x:dataValidation type="list" sqref="Y2 Q29:Q60">
      <x:formula1>"AUTO,DOT1Q_CMD,NO_CMD"</x:formula1>
    </x:dataValidation>
  </x:dataValidations>
  <x:pageMargins left="0.7" right="0.7" top="0.75" bottom="0.75" header="0.3" footer="0.3"/>
  <x:tableParts count="6">
    <x:tablePart xmlns:r="http://schemas.openxmlformats.org/officeDocument/2006/relationships" r:id="R9eabbcde4a6b4514"/>
    <x:tablePart xmlns:r="http://schemas.openxmlformats.org/officeDocument/2006/relationships" r:id="Re838b1348aa846c0"/>
    <x:tablePart xmlns:r="http://schemas.openxmlformats.org/officeDocument/2006/relationships" r:id="Ree16878cb28f4d79"/>
    <x:tablePart xmlns:r="http://schemas.openxmlformats.org/officeDocument/2006/relationships" r:id="Rbac09177126140f3"/>
    <x:tablePart xmlns:r="http://schemas.openxmlformats.org/officeDocument/2006/relationships" r:id="Rf0f365f0a10843f9"/>
    <x:tablePart xmlns:r="http://schemas.openxmlformats.org/officeDocument/2006/relationships" r:id="Rad08ecc07cd24276"/>
  </x:tableParts>
</x:worksheet>
</file>

<file path=xl/worksheets/sheet2.xml><?xml version="1.0" encoding="utf-8"?>
<x:worksheet xmlns:x="http://schemas.openxmlformats.org/spreadsheetml/2006/main">
  <x:sheetFormatPr defaultColWidth="12.5546875" defaultRowHeight="13.800000190734863"/>
  <x:cols>
    <x:col min="1" max="1" width="15.44140625" style="12" customWidth="1"/>
    <x:col min="2" max="2" width="14.33203125" style="12" customWidth="1"/>
    <x:col min="3" max="3" width="75.88671875" style="12" customWidth="1"/>
    <x:col min="4" max="4" width="14.33203125" style="12" customWidth="1"/>
    <x:col min="5" max="5" width="75.88671875" style="12" customWidth="1"/>
    <x:col min="6" max="6" width="16.88671875" style="12" customWidth="1"/>
    <x:col min="7" max="7" width="75.88671875" style="12" customWidth="1"/>
    <x:col min="8" max="8" width="15.5546875" style="12" customWidth="1"/>
    <x:col min="9" max="9" width="15.21875" style="12" customWidth="1"/>
    <x:col min="10" max="10" width="16.109375" style="12" customWidth="1"/>
    <x:col min="11" max="11" width="16.88671875" style="12" customWidth="1"/>
    <x:col min="12" max="12" width="15.44140625" customWidth="1"/>
    <x:col min="13" max="14" width="18" style="12" customWidth="1"/>
    <x:col min="15" max="16" width="18" customWidth="1"/>
    <x:col min="17" max="17" width="19.5546875" customWidth="1"/>
    <x:col min="18" max="21" width="18" customWidth="1"/>
    <x:col min="22" max="22" width="19.5546875" customWidth="1"/>
    <x:col min="23" max="23" width="14.109375" style="12" customWidth="1"/>
    <x:col min="24" max="24" width="13.44140625" customWidth="1"/>
    <x:col min="25" max="25" width="9.44140625" customWidth="1"/>
    <x:col min="26" max="27" width="19" customWidth="1"/>
  </x:cols>
  <x:sheetData>
    <x:row r="1" ht="27.899999618530273" customHeight="1">
      <x:c r="A1" s="24" t="s">
        <x:v>0</x:v>
      </x:c>
      <x:c r="B1" s="24" t="s">
        <x:v>1</x:v>
      </x:c>
      <x:c r="C1" s="24" t="s">
        <x:v>2</x:v>
      </x:c>
      <x:c r="D1" s="24" t="s">
        <x:v>3</x:v>
      </x:c>
      <x:c r="E1" s="24" t="s">
        <x:v>4</x:v>
      </x:c>
      <x:c r="F1" s="24" t="s">
        <x:v>5</x:v>
      </x:c>
      <x:c r="G1" s="24" t="s">
        <x:v>6</x:v>
      </x:c>
      <x:c r="H1" s="24" t="s">
        <x:v>8</x:v>
      </x:c>
      <x:c r="I1" s="24" t="s">
        <x:v>10</x:v>
      </x:c>
      <x:c r="J1" s="21" t="s">
        <x:v>11</x:v>
      </x:c>
      <x:c r="K1" s="21" t="s">
        <x:v>12</x:v>
      </x:c>
      <x:c r="L1" s="22" t="s">
        <x:v>13</x:v>
      </x:c>
      <x:c r="M1" s="22" t="s">
        <x:v>14</x:v>
      </x:c>
      <x:c r="N1" s="22" t="s">
        <x:v>15</x:v>
      </x:c>
      <x:c r="O1" s="33" t="s">
        <x:v>17</x:v>
      </x:c>
      <x:c r="P1" s="33" t="s">
        <x:v>18</x:v>
      </x:c>
      <x:c r="Q1" s="33" t="s">
        <x:v>19</x:v>
      </x:c>
      <x:c r="R1" s="33" t="s">
        <x:v>20</x:v>
      </x:c>
      <x:c r="S1" s="33" t="s">
        <x:v>21</x:v>
      </x:c>
      <x:c r="T1" s="33" t="s">
        <x:v>22</x:v>
      </x:c>
      <x:c r="U1" s="33" t="s">
        <x:v>23</x:v>
      </x:c>
      <x:c r="V1" s="33" t="s">
        <x:v>24</x:v>
      </x:c>
      <x:c r="W1" s="33" t="s">
        <x:v>25</x:v>
      </x:c>
      <x:c r="X1" s="33" t="s">
        <x:v>26</x:v>
      </x:c>
      <x:c r="Y1" s="33" t="s">
        <x:v>27</x:v>
      </x:c>
      <x:c r="Z1" s="33" t="s">
        <x:v>28</x:v>
      </x:c>
      <x:c r="AA1" s="33" t="s">
        <x:v>29</x:v>
      </x:c>
    </x:row>
    <x:row r="2" ht="15.75" customHeight="1">
      <x:c r="A2" s="12">
        <x:v>2</x:v>
      </x:c>
      <x:c r="B2" s="12" t="s">
        <x:v>30</x:v>
      </x:c>
      <x:c r="C2" s="12" t="str">
        <x:f>A2&amp;"."&amp;A2&amp;"."&amp;A2&amp;".0"</x:f>
        <x:v>2.2.2.0</x:v>
      </x:c>
      <x:c r="D2" s="12" t="s">
        <x:v>31</x:v>
      </x:c>
      <x:c r="E2" s="12" t="str">
        <x:v>CHANGE_ME_LOCAL_PASSWORD</x:v>
      </x:c>
      <x:c r="F2" s="12" t="s">
        <x:v>32</x:v>
      </x:c>
      <x:c r="G2" s="12" t="str">
        <x:v>CHANGE_ME_ENABLE_SECRET</x:v>
      </x:c>
      <x:c r="H2" s="12" t="str">
        <x:v>CHANGE_ME_TACACS_KEY</x:v>
      </x:c>
      <x:c r="I2" s="12" t="s">
        <x:v>91</x:v>
      </x:c>
      <x:c r="J2" s="14" t="str">
        <x:f>'Site 1 (HUB)'!L2</x:f>
        <x:v>10.1.10.10</x:v>
      </x:c>
      <x:c r="K2" s="14" t="str">
        <x:f>'Site 1 (HUB)'!M2</x:f>
        <x:v>10.1.10.10</x:v>
      </x:c>
      <x:c r="L2" s="20" t="s">
        <x:v>35</x:v>
      </x:c>
      <x:c r="M2" s="30" t="str">
        <x:f>'Site 1 (HUB)'!O2</x:f>
        <x:v>10.1.10.10</x:v>
      </x:c>
      <x:c r="N2" s="30" t="str">
        <x:v>CHANGE_ME_RADIUS_KEY</x:v>
      </x:c>
      <x:c r="O2" s="34" t="s">
        <x:v>36</x:v>
      </x:c>
      <x:c r="P2" s="34" t="s">
        <x:v>36</x:v>
      </x:c>
      <x:c r="Q2" s="34" t="s">
        <x:v>37</x:v>
      </x:c>
      <x:c r="R2" s="34" t="s">
        <x:v>38</x:v>
      </x:c>
      <x:c r="S2" s="34" t="s">
        <x:v>39</x:v>
      </x:c>
      <x:c r="T2" s="34" t="s">
        <x:v>40</x:v>
      </x:c>
      <x:c r="U2" s="34" t="str">
        <x:v>AUTO</x:v>
      </x:c>
      <x:c r="V2" s="34" t="s">
        <x:v>92</x:v>
      </x:c>
      <x:c r="W2" s="39" t="b">
        <x:v>1</x:v>
      </x:c>
      <x:c r="X2" s="40" t="s">
        <x:v>34</x:v>
      </x:c>
      <x:c r="Y2" s="40" t="s">
        <x:v>42</x:v>
      </x:c>
      <x:c r="Z2" s="40" t="str">
        <x:v>CHANGE_ME_SNMP_AUTH</x:v>
      </x:c>
      <x:c r="AA2" s="40" t="str">
        <x:v>CHANGE_ME_SNMP_PRIV</x:v>
      </x:c>
    </x:row>
    <x:row r="3" ht="15.75" customHeight="1"/>
    <x:row r="4" ht="31.5" customHeight="1">
      <x:c r="A4" s="6" t="s">
        <x:v>43</x:v>
      </x:c>
      <x:c r="B4" s="6" t="s">
        <x:v>44</x:v>
      </x:c>
      <x:c r="C4" s="6" t="s">
        <x:v>45</x:v>
      </x:c>
      <x:c r="D4" s="6" t="s">
        <x:v>46</x:v>
      </x:c>
      <x:c r="E4" s="6" t="s">
        <x:v>47</x:v>
      </x:c>
      <x:c r="F4" s="6" t="s">
        <x:v>48</x:v>
      </x:c>
      <x:c r="G4" s="6" t="s">
        <x:v>49</x:v>
      </x:c>
      <x:c r="H4" s="6" t="s">
        <x:v>50</x:v>
      </x:c>
      <x:c r="I4" s="26" t="s">
        <x:v>51</x:v>
      </x:c>
      <x:c r="J4" s="27" t="str">
        <x:v>pri-afxx</x:v>
      </x:c>
      <x:c r="K4" s="27" t="s">
        <x:v>53</x:v>
      </x:c>
    </x:row>
    <x:row r="5" ht="15.75" customHeight="1">
      <x:c r="A5" s="7" t="s">
        <x:v>54</x:v>
      </x:c>
      <x:c r="B5" s="8">
        <x:v>10</x:v>
      </x:c>
      <x:c r="C5" s="7">
        <x:v>0</x:v>
      </x:c>
      <x:c r="D5" s="7" t="str">
        <x:f>10&amp;"."&amp;$A$2&amp;"."&amp;B5&amp;".0"</x:f>
        <x:v>10.2.10.0</x:v>
      </x:c>
      <x:c r="E5" s="7" t="str">
        <x:f>10&amp;"."&amp;$A$2&amp;"."&amp;B5&amp;".1"</x:f>
        <x:v>10.2.10.1</x:v>
      </x:c>
      <x:c r="F5" s="7" t="s">
        <x:v>55</x:v>
      </x:c>
      <x:c r="G5" s="7" t="str">
        <x:f t="shared" ref="G5:G8" si="0">VALUE(LEFT(D5,FIND(".",D5)-1))&amp;"."&amp;VALUE(MID(D5,FIND(".",D5)+1,FIND(".",D5,FIND(".",D5)+1)-FIND(".",D5)-1))&amp;"."&amp;VALUE(MID(D5,FIND(".",D5,FIND(".",D5)+1)+1,FIND(".",D5,FIND(".",D5,FIND(".",D5)+1)+1)-FIND(".",D5,FIND(".",D5)+1)-1))&amp;"."&amp;(VALUE(RIGHT(D5,LEN(D5)-FIND(".",D5,FIND(".",D5,FIND(".",D5)+1)+1)))+1)</x:f>
        <x:v>10.2.10.1</x:v>
      </x:c>
      <x:c r="H5" s="7" t="str">
        <x:f>(VALUE(LEFT(D5,FIND(".",D5)-1))+255-VALUE(LEFT(F5,FIND(".",F5)-1)))&amp;"."&amp;(VALUE(MID(D5,FIND(".",D5)+1,FIND(".",D5,FIND(".",D5)+1)-FIND(".",D5)-1))+255-VALUE(MID(F5,FIND(".",F5)+1,FIND(".",F5,FIND(".",F5)+1)-FIND(".",F5)-1)))&amp;"."&amp;(VALUE(MID(D5,FIND(".",D5,FIND(".",D5)+1)+1,FIND(".",D5,FIND(".",D5,FIND(".",D5)+1)+1)-FIND(".",D5,FIND(".",D5)+1)-1))+255-VALUE(MID(F5,FIND(".",F5,FIND(".",F5)+1)+1,FIND(".",F5,FIND(".",F5,FIND(".",F5)+1)+1)-FIND(".",F5,FIND(".",F5)+1)-1)))&amp;"."&amp;(VALUE(RIGHT(D5,LEN(D5)-FIND(".",D5,FIND(".",D5,FIND(".",D5)+1)+1)))+255-VALUE(RIGHT(F5,LEN(F5)-FIND(".",F5,FIND(".",F5,FIND(".",F5)+1)+1)))-1)</x:f>
        <x:v>10.2.10.254</x:v>
      </x:c>
      <x:c r="I5" s="7">
        <x:v>40</x:v>
      </x:c>
      <x:c r="J5" s="9">
        <x:v>21</x:v>
      </x:c>
      <x:c r="K5" s="9">
        <x:v>5</x:v>
      </x:c>
    </x:row>
    <x:row r="6" ht="15.75" customHeight="1">
      <x:c r="A6" s="7" t="s">
        <x:v>56</x:v>
      </x:c>
      <x:c r="B6" s="8">
        <x:v>20</x:v>
      </x:c>
      <x:c r="C6" s="7">
        <x:v>0</x:v>
      </x:c>
      <x:c r="D6" s="7" t="str">
        <x:f t="shared" ref="D6:D8" si="1">10&amp;"."&amp;$A$2&amp;"."&amp;B6&amp;".0"</x:f>
        <x:v>10.2.20.0</x:v>
      </x:c>
      <x:c r="E6" s="7" t="str">
        <x:f t="shared" ref="E6:E8" si="2">10&amp;"."&amp;$A$2&amp;"."&amp;B6&amp;".1"</x:f>
        <x:v>10.2.20.1</x:v>
      </x:c>
      <x:c r="F6" s="7" t="s">
        <x:v>55</x:v>
      </x:c>
      <x:c r="G6" s="7" t="str">
        <x:f t="shared" si="0"/>
        <x:v>10.2.20.1</x:v>
      </x:c>
      <x:c r="H6" s="7" t="str">
        <x:f>(VALUE(LEFT(D6,FIND(".",D6)-1))+255-VALUE(LEFT(F6,FIND(".",F6)-1)))&amp;"."&amp;(VALUE(MID(D6,FIND(".",D6)+1,FIND(".",D6,FIND(".",D6)+1)-FIND(".",D6)-1))+255-VALUE(MID(F6,FIND(".",F6)+1,FIND(".",F6,FIND(".",F6)+1)-FIND(".",F6)-1)))&amp;"."&amp;(VALUE(MID(D6,FIND(".",D6,FIND(".",D6)+1)+1,FIND(".",D6,FIND(".",D6,FIND(".",D6)+1)+1)-FIND(".",D6,FIND(".",D6)+1)-1))+255-VALUE(MID(F6,FIND(".",F6,FIND(".",F6)+1)+1,FIND(".",F6,FIND(".",F6,FIND(".",F6)+1)+1)-FIND(".",F6,FIND(".",F6)+1)-1)))&amp;"."&amp;(VALUE(RIGHT(D6,LEN(D6)-FIND(".",D6,FIND(".",D6,FIND(".",D6)+1)+1)))+255-VALUE(RIGHT(F6,LEN(F6)-FIND(".",F6,FIND(".",F6,FIND(".",F6)+1)+1)))-1)</x:f>
        <x:v>10.2.20.254</x:v>
      </x:c>
      <x:c r="I6" s="7">
        <x:v>40</x:v>
      </x:c>
      <x:c r="J6" s="9">
        <x:v>11</x:v>
      </x:c>
      <x:c r="K6" s="9">
        <x:v>2</x:v>
      </x:c>
    </x:row>
    <x:row r="7" ht="15.75" customHeight="1">
      <x:c r="A7" s="7" t="s">
        <x:v>57</x:v>
      </x:c>
      <x:c r="B7" s="8">
        <x:v>30</x:v>
      </x:c>
      <x:c r="C7" s="7">
        <x:v>0</x:v>
      </x:c>
      <x:c r="D7" s="7" t="str">
        <x:f t="shared" si="1"/>
        <x:v>10.2.30.0</x:v>
      </x:c>
      <x:c r="E7" s="7" t="str">
        <x:f t="shared" si="2"/>
        <x:v>10.2.30.1</x:v>
      </x:c>
      <x:c r="F7" s="7" t="s">
        <x:v>55</x:v>
      </x:c>
      <x:c r="G7" s="7" t="str">
        <x:f t="shared" si="0"/>
        <x:v>10.2.30.1</x:v>
      </x:c>
      <x:c r="H7" s="7" t="str">
        <x:f>(VALUE(LEFT(D7,FIND(".",D7)-1))+255-VALUE(LEFT(F7,FIND(".",F7)-1)))&amp;"."&amp;(VALUE(MID(D7,FIND(".",D7)+1,FIND(".",D7,FIND(".",D7)+1)-FIND(".",D7)-1))+255-VALUE(MID(F7,FIND(".",F7)+1,FIND(".",F7,FIND(".",F7)+1)-FIND(".",F7)-1)))&amp;"."&amp;(VALUE(MID(D7,FIND(".",D7,FIND(".",D7)+1)+1,FIND(".",D7,FIND(".",D7,FIND(".",D7)+1)+1)-FIND(".",D7,FIND(".",D7)+1)-1))+255-VALUE(MID(F7,FIND(".",F7,FIND(".",F7)+1)+1,FIND(".",F7,FIND(".",F7,FIND(".",F7)+1)+1)-FIND(".",F7,FIND(".",F7)+1)-1)))&amp;"."&amp;(VALUE(RIGHT(D7,LEN(D7)-FIND(".",D7,FIND(".",D7,FIND(".",D7)+1)+1)))+255-VALUE(RIGHT(F7,LEN(F7)-FIND(".",F7,FIND(".",F7,FIND(".",F7)+1)+1)))-1)</x:f>
        <x:v>10.2.30.254</x:v>
      </x:c>
      <x:c r="I7" s="7">
        <x:v>40</x:v>
      </x:c>
      <x:c r="J7">
        <x:v>42</x:v>
      </x:c>
      <x:c r="K7">
        <x:v>7</x:v>
      </x:c>
    </x:row>
    <x:row r="8" ht="15.75" customHeight="1">
      <x:c r="A8" s="7" t="s">
        <x:v>58</x:v>
      </x:c>
      <x:c r="B8" s="8">
        <x:v>40</x:v>
      </x:c>
      <x:c r="C8" s="7">
        <x:v>0</x:v>
      </x:c>
      <x:c r="D8" s="7" t="str">
        <x:f t="shared" si="1"/>
        <x:v>10.2.40.0</x:v>
      </x:c>
      <x:c r="E8" s="7" t="str">
        <x:f t="shared" si="2"/>
        <x:v>10.2.40.1</x:v>
      </x:c>
      <x:c r="F8" s="7" t="s">
        <x:v>55</x:v>
      </x:c>
      <x:c r="G8" s="7" t="str">
        <x:f t="shared" si="0"/>
        <x:v>10.2.40.1</x:v>
      </x:c>
      <x:c r="H8" s="7" t="str">
        <x:f>(VALUE(LEFT(D8,FIND(".",D8)-1))+255-VALUE(LEFT(F8,FIND(".",F8)-1)))&amp;"."&amp;(VALUE(MID(D8,FIND(".",D8)+1,FIND(".",D8,FIND(".",D8)+1)-FIND(".",D8)-1))+255-VALUE(MID(F8,FIND(".",F8)+1,FIND(".",F8,FIND(".",F8)+1)-FIND(".",F8)-1)))&amp;"."&amp;(VALUE(MID(D8,FIND(".",D8,FIND(".",D8)+1)+1,FIND(".",D8,FIND(".",D8,FIND(".",D8)+1)+1)-FIND(".",D8,FIND(".",D8)+1)-1))+255-VALUE(MID(F8,FIND(".",F8,FIND(".",F8)+1)+1,FIND(".",F8,FIND(".",F8,FIND(".",F8)+1)+1)-FIND(".",F8,FIND(".",F8)+1)-1)))&amp;"."&amp;(VALUE(RIGHT(D8,LEN(D8)-FIND(".",D8,FIND(".",D8,FIND(".",D8)+1)+1)))+255-VALUE(RIGHT(F8,LEN(F8)-FIND(".",F8,FIND(".",F8,FIND(".",F8)+1)+1)))-1)</x:f>
        <x:v>10.2.40.254</x:v>
      </x:c>
      <x:c r="I8" s="7">
        <x:v>40</x:v>
      </x:c>
      <x:c r="J8">
        <x:v>41</x:v>
      </x:c>
      <x:c r="K8">
        <x:v>10</x:v>
      </x:c>
      <x:c r="L8" s="12"/>
    </x:row>
    <x:row r="9" ht="15.75" customHeight="1">
      <x:c r="A9" s="42" t="s">
        <x:v>59</x:v>
      </x:c>
      <x:c r="B9" s="8">
        <x:v>50</x:v>
      </x:c>
      <x:c r="C9" s="7">
        <x:v>0</x:v>
      </x:c>
      <x:c r="D9" s="7" t="str">
        <x:f t="shared" ref="D9" si="3">10&amp;"."&amp;$A$2&amp;"."&amp;B9&amp;".0"</x:f>
        <x:v>10.2.50.0</x:v>
      </x:c>
      <x:c r="E9" s="7" t="str">
        <x:f t="shared" ref="E9" si="4">10&amp;"."&amp;$A$2&amp;"."&amp;B9&amp;".1"</x:f>
        <x:v>10.2.50.1</x:v>
      </x:c>
      <x:c r="F9" s="7" t="s">
        <x:v>55</x:v>
      </x:c>
      <x:c r="G9" s="7" t="str">
        <x:f t="shared" ref="G9" si="5">VALUE(LEFT(D9,FIND(".",D9)-1))&amp;"."&amp;VALUE(MID(D9,FIND(".",D9)+1,FIND(".",D9,FIND(".",D9)+1)-FIND(".",D9)-1))&amp;"."&amp;VALUE(MID(D9,FIND(".",D9,FIND(".",D9)+1)+1,FIND(".",D9,FIND(".",D9,FIND(".",D9)+1)+1)-FIND(".",D9,FIND(".",D9)+1)-1))&amp;"."&amp;(VALUE(RIGHT(D9,LEN(D9)-FIND(".",D9,FIND(".",D9,FIND(".",D9)+1)+1)))+1)</x:f>
        <x:v>10.2.50.1</x:v>
      </x:c>
      <x:c r="H9" s="7" t="str">
        <x:f>(VALUE(LEFT(D9,FIND(".",D9)-1))+255-VALUE(LEFT(F9,FIND(".",F9)-1)))&amp;"."&amp;(VALUE(MID(D9,FIND(".",D9)+1,FIND(".",D9,FIND(".",D9)+1)-FIND(".",D9)-1))+255-VALUE(MID(F9,FIND(".",F9)+1,FIND(".",F9,FIND(".",F9)+1)-FIND(".",F9)-1)))&amp;"."&amp;(VALUE(MID(D9,FIND(".",D9,FIND(".",D9)+1)+1,FIND(".",D9,FIND(".",D9,FIND(".",D9)+1)+1)-FIND(".",D9,FIND(".",D9)+1)-1))+255-VALUE(MID(F9,FIND(".",F9,FIND(".",F9)+1)+1,FIND(".",F9,FIND(".",F9,FIND(".",F9)+1)+1)-FIND(".",F9,FIND(".",F9)+1)-1)))&amp;"."&amp;(VALUE(RIGHT(D9,LEN(D9)-FIND(".",D9,FIND(".",D9,FIND(".",D9)+1)+1)))+255-VALUE(RIGHT(F9,LEN(F9)-FIND(".",F9,FIND(".",F9,FIND(".",F9)+1)+1)))-1)</x:f>
        <x:v>10.2.50.254</x:v>
      </x:c>
      <x:c r="I9" s="7">
        <x:v>40</x:v>
      </x:c>
      <x:c r="J9">
        <x:v>41</x:v>
      </x:c>
      <x:c r="K9">
        <x:v>10</x:v>
      </x:c>
      <x:c r="L9" s="12"/>
    </x:row>
    <x:row r="10" ht="15.75" customHeight="1">
      <x:c r="A10" s="3"/>
      <x:c r="B10" s="3"/>
      <x:c r="C10"/>
      <x:c r="D10"/>
      <x:c r="E10"/>
      <x:c r="F10"/>
      <x:c r="G10"/>
      <x:c r="H10"/>
      <x:c r="I10"/>
      <x:c r="J10"/>
      <x:c r="K10"/>
      <x:c r="L10" s="12"/>
    </x:row>
    <x:row r="11" ht="15.75" customHeight="1">
      <x:c r="A11" s="6" t="s">
        <x:v>43</x:v>
      </x:c>
      <x:c r="B11" s="6" t="s">
        <x:v>60</x:v>
      </x:c>
      <x:c r="C11" s="6" t="s">
        <x:v>61</x:v>
      </x:c>
      <x:c r="D11"/>
      <x:c r="E11"/>
      <x:c r="F11"/>
      <x:c r="G11"/>
      <x:c r="H11"/>
      <x:c r="I11"/>
      <x:c r="J11"/>
      <x:c r="K11"/>
      <x:c r="L11" s="12"/>
    </x:row>
    <x:row r="12" ht="15.75" customHeight="1">
      <x:c r="A12" s="7" t="s">
        <x:v>54</x:v>
      </x:c>
      <x:c r="B12" s="7">
        <x:v>10</x:v>
      </x:c>
      <x:c r="C12" s="7" t="str">
        <x:f>$A$2&amp;"."&amp;$A$2&amp;"."&amp;$A$2&amp;"."&amp;B12</x:f>
        <x:v>2.2.2.10</x:v>
      </x:c>
      <x:c r="D12"/>
      <x:c r="E12"/>
      <x:c r="F12"/>
      <x:c r="G12"/>
      <x:c r="H12"/>
      <x:c r="I12"/>
      <x:c r="J12"/>
      <x:c r="K12"/>
      <x:c r="L12" s="12"/>
    </x:row>
    <x:row r="13" ht="15.75" customHeight="1">
      <x:c r="A13" s="7" t="s">
        <x:v>56</x:v>
      </x:c>
      <x:c r="B13" s="7">
        <x:v>20</x:v>
      </x:c>
      <x:c r="C13" s="7" t="str">
        <x:f t="shared" ref="C13:C15" si="6">$A$2&amp;"."&amp;$A$2&amp;"."&amp;$A$2&amp;"."&amp;B13</x:f>
        <x:v>2.2.2.20</x:v>
      </x:c>
      <x:c r="D13"/>
      <x:c r="E13"/>
      <x:c r="F13"/>
      <x:c r="G13"/>
      <x:c r="H13"/>
      <x:c r="I13"/>
      <x:c r="J13"/>
      <x:c r="K13"/>
      <x:c r="L13" s="12"/>
    </x:row>
    <x:row r="14" ht="15.75" customHeight="1">
      <x:c r="A14" s="7" t="s">
        <x:v>57</x:v>
      </x:c>
      <x:c r="B14" s="7">
        <x:v>30</x:v>
      </x:c>
      <x:c r="C14" s="7" t="str">
        <x:f t="shared" si="6"/>
        <x:v>2.2.2.30</x:v>
      </x:c>
      <x:c r="D14"/>
      <x:c r="E14"/>
      <x:c r="F14"/>
      <x:c r="G14"/>
      <x:c r="H14"/>
      <x:c r="I14"/>
      <x:c r="J14"/>
      <x:c r="K14"/>
      <x:c r="L14" s="12"/>
    </x:row>
    <x:row r="15" ht="15.75" customHeight="1">
      <x:c r="A15" s="7" t="s">
        <x:v>58</x:v>
      </x:c>
      <x:c r="B15" s="7">
        <x:v>40</x:v>
      </x:c>
      <x:c r="C15" s="7" t="str">
        <x:f t="shared" si="6"/>
        <x:v>2.2.2.40</x:v>
      </x:c>
      <x:c r="D15"/>
      <x:c r="E15"/>
      <x:c r="F15"/>
      <x:c r="G15"/>
      <x:c r="H15"/>
      <x:c r="I15"/>
      <x:c r="J15"/>
      <x:c r="K15"/>
      <x:c r="L15" s="12"/>
    </x:row>
    <x:row r="16" ht="15.75" customHeight="1">
      <x:c r="A16" s="42" t="s">
        <x:v>59</x:v>
      </x:c>
      <x:c r="B16" s="7">
        <x:v>50</x:v>
      </x:c>
      <x:c r="C16" s="42" t="str">
        <x:f t="shared" ref="C16" si="7">$A$2&amp;"."&amp;$A$2&amp;"."&amp;$A$2&amp;"."&amp;B16</x:f>
        <x:v>2.2.2.50</x:v>
      </x:c>
      <x:c r="D16"/>
      <x:c r="E16"/>
      <x:c r="F16"/>
      <x:c r="G16"/>
      <x:c r="H16"/>
      <x:c r="I16"/>
      <x:c r="J16"/>
      <x:c r="K16"/>
      <x:c r="L16" s="12"/>
    </x:row>
    <x:row r="17" ht="15.75" customHeight="1"/>
    <x:row r="18" ht="15.75" customHeight="1">
      <x:c r="A18" s="12" t="s">
        <x:v>62</x:v>
      </x:c>
      <x:c r="B18" s="12" t="s">
        <x:v>43</x:v>
      </x:c>
      <x:c r="C18" s="12" t="s">
        <x:v>63</x:v>
      </x:c>
      <x:c r="D18" s="12" t="s">
        <x:v>48</x:v>
      </x:c>
      <x:c r="E18" s="12" t="s">
        <x:v>64</x:v>
      </x:c>
      <x:c r="F18" s="12" t="s">
        <x:v>65</x:v>
      </x:c>
      <x:c r="G18" s="12" t="s">
        <x:v>66</x:v>
      </x:c>
      <x:c r="H18" s="12" t="s">
        <x:v>67</x:v>
      </x:c>
      <x:c r="I18" s="12" t="s">
        <x:v>68</x:v>
      </x:c>
      <x:c r="J18" s="12" t="s">
        <x:v>69</x:v>
      </x:c>
    </x:row>
    <x:row r="19" ht="15.75" customHeight="1">
      <x:c r="A19" s="12" t="s">
        <x:v>70</x:v>
      </x:c>
      <x:c r="B19" s="12" t="s">
        <x:v>54</x:v>
      </x:c>
      <x:c r="C19" s="12" t="str">
        <x:f>172&amp;"."&amp;16&amp;"."&amp;H19&amp;"."&amp;$A$2</x:f>
        <x:v>172.16.10.2</x:v>
      </x:c>
      <x:c r="D19" s="12" t="s">
        <x:v>55</x:v>
      </x:c>
      <x:c r="E19" s="12" t="str">
        <x:f t="shared" ref="E19:E23" si="8">$C$2</x:f>
        <x:v>2.2.2.0</x:v>
      </x:c>
      <x:c r="F19"/>
      <x:c r="G19" s="12" t="s">
        <x:v>71</x:v>
      </x:c>
      <x:c r="H19" s="12">
        <x:v>10</x:v>
      </x:c>
      <x:c r="I19" s="29" t="b">
        <x:f>'Site 1 (HUB)'!I19</x:f>
        <x:v>1</x:v>
      </x:c>
      <x:c r="J19"/>
    </x:row>
    <x:row r="20" ht="15.75" customHeight="1">
      <x:c r="A20" s="12" t="s">
        <x:v>72</x:v>
      </x:c>
      <x:c r="B20" s="12" t="s">
        <x:v>56</x:v>
      </x:c>
      <x:c r="C20" s="12" t="str">
        <x:f>172&amp;"."&amp;16&amp;"."&amp;H20&amp;"."&amp;$A$2</x:f>
        <x:v>172.16.20.2</x:v>
      </x:c>
      <x:c r="D20" s="12" t="s">
        <x:v>55</x:v>
      </x:c>
      <x:c r="E20" s="12" t="str">
        <x:f t="shared" si="8"/>
        <x:v>2.2.2.0</x:v>
      </x:c>
      <x:c r="F20"/>
      <x:c r="G20" s="12" t="s">
        <x:v>71</x:v>
      </x:c>
      <x:c r="H20" s="12">
        <x:v>20</x:v>
      </x:c>
      <x:c r="I20" s="29" t="b" cm="1">
        <x:f>'Site 1 (HUB)'!I20</x:f>
        <x:v>0</x:v>
      </x:c>
      <x:c r="J20"/>
    </x:row>
    <x:row r="21" ht="15.75" customHeight="1">
      <x:c r="A21" s="12" t="s">
        <x:v>73</x:v>
      </x:c>
      <x:c r="B21" s="12" t="s">
        <x:v>57</x:v>
      </x:c>
      <x:c r="C21" s="12" t="str">
        <x:f>172&amp;"."&amp;16&amp;"."&amp;H21&amp;"."&amp;$A$2</x:f>
        <x:v>172.16.30.2</x:v>
      </x:c>
      <x:c r="D21" s="12" t="s">
        <x:v>55</x:v>
      </x:c>
      <x:c r="E21" s="12" t="str">
        <x:f t="shared" si="8"/>
        <x:v>2.2.2.0</x:v>
      </x:c>
      <x:c r="F21"/>
      <x:c r="G21" s="12" t="s">
        <x:v>71</x:v>
      </x:c>
      <x:c r="H21" s="12">
        <x:v>30</x:v>
      </x:c>
      <x:c r="I21" s="29" t="b">
        <x:f>'Site 1 (HUB)'!I21</x:f>
        <x:v>1</x:v>
      </x:c>
      <x:c r="J21"/>
    </x:row>
    <x:row r="22" ht="15.75" customHeight="1">
      <x:c r="A22" s="12" t="s">
        <x:v>74</x:v>
      </x:c>
      <x:c r="B22" s="12" t="s">
        <x:v>58</x:v>
      </x:c>
      <x:c r="C22" s="12" t="str">
        <x:f t="shared" ref="C22" si="9">172&amp;"."&amp;16&amp;"."&amp;H22&amp;"."&amp;$A$2</x:f>
        <x:v>172.16.40.2</x:v>
      </x:c>
      <x:c r="D22" s="12" t="s">
        <x:v>55</x:v>
      </x:c>
      <x:c r="E22" s="12" t="str">
        <x:f t="shared" si="8"/>
        <x:v>2.2.2.0</x:v>
      </x:c>
      <x:c r="F22"/>
      <x:c r="G22" s="12" t="s">
        <x:v>71</x:v>
      </x:c>
      <x:c r="H22" s="12">
        <x:v>40</x:v>
      </x:c>
      <x:c r="I22" s="29" t="b">
        <x:f>'Site 1 (HUB)'!I22</x:f>
        <x:v>1</x:v>
      </x:c>
      <x:c r="J22"/>
    </x:row>
    <x:row r="23" ht="15.75" customHeight="1">
      <x:c r="A23" s="44" t="s">
        <x:v>75</x:v>
      </x:c>
      <x:c r="B23" s="43" t="s">
        <x:v>59</x:v>
      </x:c>
      <x:c r="C23" s="43" t="str">
        <x:f t="shared" ref="C23" si="10">172&amp;"."&amp;16&amp;"."&amp;H23&amp;"."&amp;$A$2</x:f>
        <x:v>172.16.50.2</x:v>
      </x:c>
      <x:c r="D23" s="43" t="s">
        <x:v>55</x:v>
      </x:c>
      <x:c r="E23" s="43" t="str">
        <x:f t="shared" si="8"/>
        <x:v>2.2.2.0</x:v>
      </x:c>
      <x:c r="F23" s="46"/>
      <x:c r="G23" s="43" t="s">
        <x:v>71</x:v>
      </x:c>
      <x:c r="H23" s="43" t="n">
        <x:v>50</x:v>
      </x:c>
      <x:c r="I23" s="29" t="b">
        <x:f>'Site 1 (HUB)'!I23</x:f>
        <x:v>1</x:v>
      </x:c>
      <x:c r="J23" s="46"/>
    </x:row>
    <x:row r="24" ht="15.75" customHeight="1"/>
    <x:row r="25" ht="16.5" customHeight="1">
      <x:c r="A25" s="12" t="s">
        <x:v>0</x:v>
      </x:c>
      <x:c r="B25" s="12" t="s">
        <x:v>3</x:v>
      </x:c>
      <x:c r="C25" s="12" t="s">
        <x:v>4</x:v>
      </x:c>
      <x:c r="D25" s="12" t="s">
        <x:v>5</x:v>
      </x:c>
      <x:c r="E25" s="12" t="s">
        <x:v>6</x:v>
      </x:c>
      <x:c r="F25" s="12" t="s">
        <x:v>76</x:v>
      </x:c>
      <x:c r="G25" s="1" t="s">
        <x:v>77</x:v>
      </x:c>
      <x:c r="H25" s="1" t="s">
        <x:v>78</x:v>
      </x:c>
    </x:row>
    <x:row r="26" ht="15.75" customHeight="1">
      <x:c r="A26" s="12" t="n">
        <x:f>$A$2</x:f>
        <x:v>2</x:v>
      </x:c>
      <x:c r="B26" s="12" t="str">
        <x:f>$D$2</x:f>
        <x:v>admin</x:v>
      </x:c>
      <x:c r="C26" s="12" t="str">
        <x:v>CHANGE_ME_LOCAL_PASSWORD</x:v>
      </x:c>
      <x:c r="D26" s="12" t="str">
        <x:f>$F$2</x:f>
        <x:v>0 - 15</x:v>
      </x:c>
      <x:c r="E26" s="12" t="str">
        <x:v>CHANGE_ME_ENABLE_SECRET</x:v>
      </x:c>
      <x:c r="F26" s="12">
        <x:v>2</x:v>
      </x:c>
      <x:c r="G26" s="2" t="s">
        <x:v>79</x:v>
      </x:c>
      <x:c r="H26" s="46" t="s">
        <x:v>80</x:v>
      </x:c>
    </x:row>
    <x:row r="27" ht="15.75" customHeight="1"/>
    <x:row r="28" ht="27.899999618530273" customHeight="1">
      <x:c r="A28" s="13" t="s">
        <x:v>81</x:v>
      </x:c>
      <x:c r="B28" s="13" t="s">
        <x:v>82</x:v>
      </x:c>
      <x:c r="C28" s="13" t="s">
        <x:v>83</x:v>
      </x:c>
      <x:c r="D28" s="13" t="s">
        <x:v>47</x:v>
      </x:c>
      <x:c r="E28" s="13" t="s">
        <x:v>48</x:v>
      </x:c>
      <x:c r="F28" s="13" t="s">
        <x:v>84</x:v>
      </x:c>
      <x:c r="G28" s="13" t="s">
        <x:v>85</x:v>
      </x:c>
      <x:c r="H28" s="13" t="s">
        <x:v>86</x:v>
      </x:c>
      <x:c r="I28" s="13" t="s">
        <x:v>87</x:v>
      </x:c>
      <x:c r="J28" s="13" t="s">
        <x:v>1</x:v>
      </x:c>
      <x:c r="K28" s="13" t="s">
        <x:v>88</x:v>
      </x:c>
      <x:c r="L28" s="25" t="s">
        <x:v>89</x:v>
      </x:c>
      <x:c r="M28" s="1" t="s">
        <x:v>17</x:v>
      </x:c>
      <x:c r="N28" s="1" t="s">
        <x:v>18</x:v>
      </x:c>
      <x:c r="O28" s="1" t="s">
        <x:v>19</x:v>
      </x:c>
      <x:c r="P28" s="1" t="s">
        <x:v>23</x:v>
      </x:c>
      <x:c r="Q28" s="1" t="s">
        <x:v>24</x:v>
      </x:c>
    </x:row>
    <x:row r="29" ht="45" customHeight="1">
      <x:c r="A29" s="7" t="n">
        <x:f t="shared" ref="A29" si="11">ROW()-28</x:f>
        <x:v>1</x:v>
      </x:c>
      <x:c r="B29" s="7" t="n">
        <x:f>$B$5</x:f>
        <x:v>10</x:v>
      </x:c>
      <x:c r="C29" s="7" t="str">
        <x:f>10&amp;"."&amp;$A$2&amp;"."&amp;$B$5&amp;"."&amp;(A29+1)</x:f>
        <x:v>10.2.10.2</x:v>
      </x:c>
      <x:c r="D29" s="7" t="str">
        <x:f>$E$5</x:f>
        <x:v>10.2.10.1</x:v>
      </x:c>
      <x:c r="E29" s="7" t="str">
        <x:f>$F$5</x:f>
        <x:v>255.255.255.0</x:v>
      </x:c>
      <x:c r="F29" s="7">
        <x:v>49</x:v>
      </x:c>
      <x:c r="G29" s="7">
        <x:v>1</x:v>
      </x:c>
      <x:c r="H29" s="10">
        <x:v>1</x:v>
      </x:c>
      <x:c r="I29" s="7" t="s">
        <x:v>93</x:v>
      </x:c>
      <x:c r="J29" s="2" t="s">
        <x:v>94</x:v>
      </x:c>
      <x:c r="K29" s="2" t="n">
        <x:f>IF($A29=1,F29-G29-H29*$F$26-2-IF(OR(UPPER($G$26)="SPAN",UPPER($G$26)="RSPAN"),1,0),F29-G29-(1+H29)*$F$26-1)</x:f>
        <x:v>43</x:v>
      </x:c>
      <x:c r="M29" s="31"/>
      <x:c r="N29" s="31"/>
      <x:c r="O29" s="31"/>
      <x:c r="P29" s="31"/>
      <x:c r="Q29" s="31"/>
    </x:row>
    <x:row r="30" ht="15.75" customHeight="1">
      <x:c r="M30" s="31"/>
      <x:c r="N30" s="31"/>
      <x:c r="O30" s="31"/>
      <x:c r="P30" s="31"/>
      <x:c r="Q30" s="31"/>
    </x:row>
    <x:row r="31" ht="15.75" customHeight="1">
      <x:c r="M31" s="31"/>
      <x:c r="N31" s="31"/>
      <x:c r="O31" s="31"/>
      <x:c r="P31" s="31"/>
      <x:c r="Q31" s="31"/>
    </x:row>
    <x:row r="32" ht="15.75" customHeight="1">
      <x:c r="M32" s="31"/>
      <x:c r="N32" s="31"/>
      <x:c r="O32" s="31"/>
      <x:c r="P32" s="31"/>
      <x:c r="Q32" s="31"/>
    </x:row>
    <x:row r="33" ht="15.75" customHeight="1">
      <x:c r="M33" s="31"/>
      <x:c r="N33" s="31"/>
      <x:c r="O33" s="31"/>
      <x:c r="P33" s="31"/>
      <x:c r="Q33" s="31"/>
    </x:row>
    <x:row r="34" ht="15.75" customHeight="1">
      <x:c r="M34" s="31"/>
      <x:c r="N34" s="31"/>
      <x:c r="O34" s="31"/>
      <x:c r="P34" s="31"/>
      <x:c r="Q34" s="31"/>
    </x:row>
    <x:row r="35" ht="15.75" customHeight="1">
      <x:c r="M35" s="31"/>
      <x:c r="N35" s="31"/>
      <x:c r="O35" s="31"/>
      <x:c r="P35" s="31"/>
      <x:c r="Q35" s="31"/>
    </x:row>
    <x:row r="36" ht="15.75" customHeight="1">
      <x:c r="M36" s="31"/>
      <x:c r="N36" s="31"/>
      <x:c r="O36" s="31"/>
      <x:c r="P36" s="31"/>
      <x:c r="Q36" s="31"/>
    </x:row>
    <x:row r="37" ht="15.75" customHeight="1">
      <x:c r="M37" s="31"/>
      <x:c r="N37" s="31"/>
      <x:c r="O37" s="31"/>
      <x:c r="P37" s="31"/>
      <x:c r="Q37" s="31"/>
    </x:row>
    <x:row r="38" ht="15.75" customHeight="1">
      <x:c r="M38" s="31"/>
      <x:c r="N38" s="31"/>
      <x:c r="O38" s="31"/>
      <x:c r="P38" s="31"/>
      <x:c r="Q38" s="31"/>
    </x:row>
    <x:row r="39" ht="15.75" customHeight="1">
      <x:c r="M39" s="31"/>
      <x:c r="N39" s="31"/>
      <x:c r="O39" s="31"/>
      <x:c r="P39" s="31"/>
      <x:c r="Q39" s="31"/>
    </x:row>
    <x:row r="40" ht="15.75" customHeight="1">
      <x:c r="M40" s="31"/>
      <x:c r="N40" s="31"/>
      <x:c r="O40" s="31"/>
      <x:c r="P40" s="31"/>
      <x:c r="Q40" s="31"/>
    </x:row>
    <x:row r="41" ht="15.75" customHeight="1">
      <x:c r="M41" s="31"/>
      <x:c r="N41" s="31"/>
      <x:c r="O41" s="31"/>
      <x:c r="P41" s="31"/>
      <x:c r="Q41" s="31"/>
    </x:row>
    <x:row r="42" ht="15.75" customHeight="1">
      <x:c r="M42" s="31"/>
      <x:c r="N42" s="31"/>
      <x:c r="O42" s="31"/>
      <x:c r="P42" s="31"/>
      <x:c r="Q42" s="31"/>
    </x:row>
    <x:row r="43" ht="15.75" customHeight="1">
      <x:c r="M43" s="31"/>
      <x:c r="N43" s="31"/>
      <x:c r="O43" s="31"/>
      <x:c r="P43" s="31"/>
      <x:c r="Q43" s="31"/>
    </x:row>
    <x:row r="44" ht="15.75" customHeight="1">
      <x:c r="M44" s="31"/>
      <x:c r="N44" s="31"/>
      <x:c r="O44" s="31"/>
      <x:c r="P44" s="31"/>
      <x:c r="Q44" s="31"/>
    </x:row>
    <x:row r="45" ht="15.75" customHeight="1">
      <x:c r="M45" s="31"/>
      <x:c r="N45" s="31"/>
      <x:c r="O45" s="31"/>
      <x:c r="P45" s="31"/>
      <x:c r="Q45" s="31"/>
    </x:row>
    <x:row r="46" ht="15.75" customHeight="1">
      <x:c r="M46" s="31"/>
      <x:c r="N46" s="31"/>
      <x:c r="O46" s="31"/>
      <x:c r="P46" s="31"/>
      <x:c r="Q46" s="31"/>
    </x:row>
    <x:row r="47" ht="15.75" customHeight="1">
      <x:c r="M47" s="31"/>
      <x:c r="N47" s="31"/>
      <x:c r="O47" s="31"/>
      <x:c r="P47" s="31"/>
      <x:c r="Q47" s="31"/>
    </x:row>
    <x:row r="48" ht="15.75" customHeight="1">
      <x:c r="M48" s="31"/>
      <x:c r="N48" s="31"/>
      <x:c r="O48" s="31"/>
      <x:c r="P48" s="31"/>
      <x:c r="Q48" s="31"/>
    </x:row>
    <x:row r="49" ht="15.75" customHeight="1">
      <x:c r="M49" s="31"/>
      <x:c r="N49" s="31"/>
      <x:c r="O49" s="31"/>
      <x:c r="P49" s="31"/>
      <x:c r="Q49" s="31"/>
    </x:row>
    <x:row r="50" ht="15.75" customHeight="1">
      <x:c r="M50" s="31"/>
      <x:c r="N50" s="31"/>
      <x:c r="O50" s="31"/>
      <x:c r="P50" s="31"/>
      <x:c r="Q50" s="31"/>
    </x:row>
    <x:row r="51" ht="15.75" customHeight="1">
      <x:c r="M51" s="31"/>
      <x:c r="N51" s="31"/>
      <x:c r="O51" s="31"/>
      <x:c r="P51" s="31"/>
      <x:c r="Q51" s="31"/>
    </x:row>
    <x:row r="52" ht="15.75" customHeight="1">
      <x:c r="M52" s="31"/>
      <x:c r="N52" s="31"/>
      <x:c r="O52" s="31"/>
      <x:c r="P52" s="31"/>
      <x:c r="Q52" s="31"/>
    </x:row>
    <x:row r="53" ht="15.75" customHeight="1">
      <x:c r="M53" s="31"/>
      <x:c r="N53" s="31"/>
      <x:c r="O53" s="31"/>
      <x:c r="P53" s="31"/>
      <x:c r="Q53" s="31"/>
    </x:row>
    <x:row r="54" ht="15.75" customHeight="1">
      <x:c r="M54" s="31"/>
      <x:c r="N54" s="31"/>
      <x:c r="O54" s="31"/>
      <x:c r="P54" s="31"/>
      <x:c r="Q54" s="31"/>
    </x:row>
    <x:row r="55" ht="15.75" customHeight="1">
      <x:c r="M55" s="31"/>
      <x:c r="N55" s="31"/>
      <x:c r="O55" s="31"/>
      <x:c r="P55" s="31"/>
      <x:c r="Q55" s="31"/>
    </x:row>
    <x:row r="56" ht="15.75" customHeight="1">
      <x:c r="M56" s="31"/>
      <x:c r="N56" s="31"/>
      <x:c r="O56" s="31"/>
      <x:c r="P56" s="31"/>
      <x:c r="Q56" s="31"/>
    </x:row>
    <x:row r="57" ht="15.75" customHeight="1">
      <x:c r="M57" s="31"/>
      <x:c r="N57" s="31"/>
      <x:c r="O57" s="31"/>
      <x:c r="P57" s="31"/>
      <x:c r="Q57" s="31"/>
    </x:row>
    <x:row r="58" ht="15.75" customHeight="1">
      <x:c r="M58" s="31"/>
      <x:c r="N58" s="31"/>
      <x:c r="O58" s="31"/>
      <x:c r="P58" s="31"/>
      <x:c r="Q58" s="31"/>
    </x:row>
    <x:row r="59" ht="15.75" customHeight="1">
      <x:c r="M59" s="31"/>
      <x:c r="N59" s="31"/>
      <x:c r="O59" s="31"/>
      <x:c r="P59" s="31"/>
      <x:c r="Q59" s="31"/>
    </x:row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</x:sheetData>
  <x:dataValidations count="9">
    <x:dataValidation type="list" sqref="V2 Q29:Q59">
      <x:formula1>"AUTO,DOT1Q_CMD,NO_CMD"</x:formula1>
    </x:dataValidation>
    <x:dataValidation type="list" sqref="U2 P29:P59">
      <x:formula1>"AUTO,5,8,9"</x:formula1>
    </x:dataValidation>
    <x:dataValidation type="list" sqref="T2">
      <x:formula1>"IKEV1,IKEV2"</x:formula1>
    </x:dataValidation>
    <x:dataValidation type="list" sqref="R2">
      <x:formula1>"CLASSIC,NAMED"</x:formula1>
    </x:dataValidation>
    <x:dataValidation type="list" sqref="Q2 O29:O59">
      <x:formula1>"LEGACY,AUTH,ACCESS_SESSION"</x:formula1>
    </x:dataValidation>
    <x:dataValidation type="list" sqref="O2:P2 S2 M29:N59">
      <x:formula1>"OLD,NEW"</x:formula1>
    </x:dataValidation>
    <x:dataValidation type="list" sqref="L2">
      <x:formula1>"OFF,STRICT,LOOSE"</x:formula1>
    </x:dataValidation>
    <x:dataValidation type="list" sqref="G26">
      <x:formula1>"SPAN,RSPAN,ERSPAN"</x:formula1>
    </x:dataValidation>
    <x:dataValidation type="custom" allowBlank="1" showInputMessage="1" showErrorMessage="1" sqref="I29">
      <x:formula1>IF(I29="",TRUE,SUM(--_xlfn.TEXTAFTER(_xlfn.TEXTSPLIT(I29,"-"),"."))&lt;=K29)</x:formula1>
    </x:dataValidation>
  </x:dataValidations>
  <x:pageMargins left="0.7" right="0.7" top="0.75" bottom="0.75" header="0.3" footer="0.3"/>
  <x:tableParts count="6">
    <x:tablePart xmlns:r="http://schemas.openxmlformats.org/officeDocument/2006/relationships" r:id="R76fb216817ec421c"/>
    <x:tablePart xmlns:r="http://schemas.openxmlformats.org/officeDocument/2006/relationships" r:id="Rb787a79212264a1f"/>
    <x:tablePart xmlns:r="http://schemas.openxmlformats.org/officeDocument/2006/relationships" r:id="Rd02fe8f9c4a84ca1"/>
    <x:tablePart xmlns:r="http://schemas.openxmlformats.org/officeDocument/2006/relationships" r:id="R9809d26240704755"/>
    <x:tablePart xmlns:r="http://schemas.openxmlformats.org/officeDocument/2006/relationships" r:id="R5c0ac80316614d08"/>
    <x:tablePart xmlns:r="http://schemas.openxmlformats.org/officeDocument/2006/relationships" r:id="R260dd62e1bbf485a"/>
  </x:tableParts>
</x:worksheet>
</file>

<file path=xl/worksheets/sheet3.xml><?xml version="1.0" encoding="utf-8"?>
<x:worksheet xmlns:x="http://schemas.openxmlformats.org/spreadsheetml/2006/main">
  <x:sheetFormatPr defaultColWidth="12.5546875" defaultRowHeight="13.800000190734863"/>
  <x:cols>
    <x:col min="1" max="1" width="15.44140625" style="12" customWidth="1"/>
    <x:col min="2" max="2" width="14.33203125" style="12" customWidth="1"/>
    <x:col min="3" max="3" width="75.88671875" style="12" customWidth="1"/>
    <x:col min="4" max="4" width="14.33203125" style="12" customWidth="1"/>
    <x:col min="5" max="5" width="75.88671875" style="12" customWidth="1"/>
    <x:col min="6" max="6" width="16.88671875" style="12" customWidth="1"/>
    <x:col min="7" max="7" width="75.88671875" style="12" customWidth="1"/>
    <x:col min="8" max="8" width="15.5546875" style="12" customWidth="1"/>
    <x:col min="9" max="9" width="14.33203125" style="12" customWidth="1"/>
    <x:col min="10" max="10" width="16.109375" style="12" customWidth="1"/>
    <x:col min="11" max="11" width="16.88671875" style="12" customWidth="1"/>
    <x:col min="12" max="12" width="15.44140625" customWidth="1"/>
    <x:col min="13" max="14" width="18" style="12" customWidth="1"/>
    <x:col min="15" max="16" width="18" customWidth="1"/>
    <x:col min="17" max="17" width="19.5546875" customWidth="1"/>
    <x:col min="18" max="21" width="18" customWidth="1"/>
    <x:col min="22" max="22" width="19.5546875" customWidth="1"/>
    <x:col min="23" max="23" width="14.109375" style="12" customWidth="1"/>
    <x:col min="24" max="24" width="13.44140625" customWidth="1"/>
    <x:col min="25" max="25" width="9.44140625" customWidth="1"/>
    <x:col min="26" max="27" width="19" customWidth="1"/>
  </x:cols>
  <x:sheetData>
    <x:row r="1" ht="27.899999618530273" customHeight="1">
      <x:c r="A1" s="24" t="s">
        <x:v>0</x:v>
      </x:c>
      <x:c r="B1" s="24" t="s">
        <x:v>1</x:v>
      </x:c>
      <x:c r="C1" s="24" t="s">
        <x:v>2</x:v>
      </x:c>
      <x:c r="D1" s="24" t="s">
        <x:v>3</x:v>
      </x:c>
      <x:c r="E1" s="24" t="s">
        <x:v>4</x:v>
      </x:c>
      <x:c r="F1" s="24" t="s">
        <x:v>5</x:v>
      </x:c>
      <x:c r="G1" s="24" t="s">
        <x:v>6</x:v>
      </x:c>
      <x:c r="H1" s="24" t="s">
        <x:v>8</x:v>
      </x:c>
      <x:c r="I1" s="24" t="s">
        <x:v>10</x:v>
      </x:c>
      <x:c r="J1" s="21" t="s">
        <x:v>11</x:v>
      </x:c>
      <x:c r="K1" s="21" t="s">
        <x:v>12</x:v>
      </x:c>
      <x:c r="L1" s="22" t="s">
        <x:v>13</x:v>
      </x:c>
      <x:c r="M1" s="22" t="s">
        <x:v>14</x:v>
      </x:c>
      <x:c r="N1" s="22" t="s">
        <x:v>15</x:v>
      </x:c>
      <x:c r="O1" s="33" t="s">
        <x:v>17</x:v>
      </x:c>
      <x:c r="P1" s="33" t="s">
        <x:v>18</x:v>
      </x:c>
      <x:c r="Q1" s="33" t="s">
        <x:v>19</x:v>
      </x:c>
      <x:c r="R1" s="33" t="s">
        <x:v>20</x:v>
      </x:c>
      <x:c r="S1" s="33" t="s">
        <x:v>21</x:v>
      </x:c>
      <x:c r="T1" s="33" t="s">
        <x:v>22</x:v>
      </x:c>
      <x:c r="U1" s="33" t="s">
        <x:v>23</x:v>
      </x:c>
      <x:c r="V1" s="33" t="s">
        <x:v>24</x:v>
      </x:c>
      <x:c r="W1" s="33" t="s">
        <x:v>25</x:v>
      </x:c>
      <x:c r="X1" s="33" t="s">
        <x:v>26</x:v>
      </x:c>
      <x:c r="Y1" s="33" t="s">
        <x:v>27</x:v>
      </x:c>
      <x:c r="Z1" s="33" t="s">
        <x:v>28</x:v>
      </x:c>
      <x:c r="AA1" s="33" t="s">
        <x:v>29</x:v>
      </x:c>
    </x:row>
    <x:row r="2" ht="15.75" customHeight="1">
      <x:c r="A2" s="12">
        <x:v>3</x:v>
      </x:c>
      <x:c r="B2" s="12" t="s">
        <x:v>30</x:v>
      </x:c>
      <x:c r="C2" s="12" t="str">
        <x:f>A2&amp;"."&amp;A2&amp;"."&amp;A2&amp;".0"</x:f>
        <x:v>3.3.3.0</x:v>
      </x:c>
      <x:c r="D2" s="12" t="s">
        <x:v>31</x:v>
      </x:c>
      <x:c r="E2" s="12" t="str">
        <x:v>CHANGE_ME_LOCAL_PASSWORD</x:v>
      </x:c>
      <x:c r="F2" s="12" t="s">
        <x:v>32</x:v>
      </x:c>
      <x:c r="G2" s="12" t="str">
        <x:v>CHANGE_ME_ENABLE_SECRET</x:v>
      </x:c>
      <x:c r="H2" s="12" t="str">
        <x:v>CHANGE_ME_TACACS_KEY</x:v>
      </x:c>
      <x:c r="I2" s="12" t="s">
        <x:v>91</x:v>
      </x:c>
      <x:c r="J2" s="14" t="str">
        <x:f>'Site 1 (HUB)'!L2</x:f>
        <x:v>10.1.10.10</x:v>
      </x:c>
      <x:c r="K2" s="14" t="str">
        <x:f>'Site 1 (HUB)'!M2</x:f>
        <x:v>10.1.10.10</x:v>
      </x:c>
      <x:c r="L2" s="20" t="s">
        <x:v>35</x:v>
      </x:c>
      <x:c r="M2" s="30" t="str">
        <x:f>'Site 1 (HUB)'!O2</x:f>
        <x:v>10.1.10.10</x:v>
      </x:c>
      <x:c r="N2" s="30" t="str">
        <x:v>CHANGE_ME_RADIUS_KEY</x:v>
      </x:c>
      <x:c r="O2" s="34" t="s">
        <x:v>36</x:v>
      </x:c>
      <x:c r="P2" s="34" t="s">
        <x:v>36</x:v>
      </x:c>
      <x:c r="Q2" s="34" t="s">
        <x:v>37</x:v>
      </x:c>
      <x:c r="R2" s="34" t="s">
        <x:v>38</x:v>
      </x:c>
      <x:c r="S2" s="34" t="s">
        <x:v>39</x:v>
      </x:c>
      <x:c r="T2" s="34" t="s">
        <x:v>40</x:v>
      </x:c>
      <x:c r="U2" s="34" t="str">
        <x:v>AUTO</x:v>
      </x:c>
      <x:c r="V2" s="34" t="s">
        <x:v>92</x:v>
      </x:c>
      <x:c r="W2" s="39" t="b">
        <x:v>1</x:v>
      </x:c>
      <x:c r="X2" s="40" t="s">
        <x:v>34</x:v>
      </x:c>
      <x:c r="Y2" s="40" t="s">
        <x:v>42</x:v>
      </x:c>
      <x:c r="Z2" s="40" t="str">
        <x:v>CHANGE_ME_SNMP_AUTH</x:v>
      </x:c>
      <x:c r="AA2" s="40" t="str">
        <x:v>CHANGE_ME_SNMP_PRIV</x:v>
      </x:c>
    </x:row>
    <x:row r="3" ht="15.75" customHeight="1"/>
    <x:row r="4" ht="31.5" customHeight="1">
      <x:c r="A4" s="6" t="s">
        <x:v>43</x:v>
      </x:c>
      <x:c r="B4" s="6" t="s">
        <x:v>44</x:v>
      </x:c>
      <x:c r="C4" s="6" t="s">
        <x:v>45</x:v>
      </x:c>
      <x:c r="D4" s="6" t="s">
        <x:v>46</x:v>
      </x:c>
      <x:c r="E4" s="6" t="s">
        <x:v>47</x:v>
      </x:c>
      <x:c r="F4" s="6" t="s">
        <x:v>48</x:v>
      </x:c>
      <x:c r="G4" s="6" t="s">
        <x:v>49</x:v>
      </x:c>
      <x:c r="H4" s="6" t="s">
        <x:v>50</x:v>
      </x:c>
      <x:c r="I4" s="26" t="s">
        <x:v>51</x:v>
      </x:c>
      <x:c r="J4" s="27" t="str">
        <x:v>pri-afxx</x:v>
      </x:c>
      <x:c r="K4" s="27" t="s">
        <x:v>53</x:v>
      </x:c>
    </x:row>
    <x:row r="5" ht="15.75" customHeight="1">
      <x:c r="A5" s="7" t="s">
        <x:v>54</x:v>
      </x:c>
      <x:c r="B5" s="8">
        <x:v>10</x:v>
      </x:c>
      <x:c r="C5" s="7">
        <x:v>0</x:v>
      </x:c>
      <x:c r="D5" s="7" t="str">
        <x:f>10&amp;"."&amp;$A$2&amp;"."&amp;B5&amp;".0"</x:f>
        <x:v>10.3.10.0</x:v>
      </x:c>
      <x:c r="E5" s="7" t="str">
        <x:f>10&amp;"."&amp;$A$2&amp;"."&amp;B5&amp;".1"</x:f>
        <x:v>10.3.10.1</x:v>
      </x:c>
      <x:c r="F5" s="7" t="s">
        <x:v>55</x:v>
      </x:c>
      <x:c r="G5" s="7" t="str">
        <x:f t="shared" ref="G5:G9" si="0">VALUE(LEFT(D5,FIND(".",D5)-1))&amp;"."&amp;VALUE(MID(D5,FIND(".",D5)+1,FIND(".",D5,FIND(".",D5)+1)-FIND(".",D5)-1))&amp;"."&amp;VALUE(MID(D5,FIND(".",D5,FIND(".",D5)+1)+1,FIND(".",D5,FIND(".",D5,FIND(".",D5)+1)+1)-FIND(".",D5,FIND(".",D5)+1)-1))&amp;"."&amp;(VALUE(RIGHT(D5,LEN(D5)-FIND(".",D5,FIND(".",D5,FIND(".",D5)+1)+1)))+1)</x:f>
        <x:v>10.3.10.1</x:v>
      </x:c>
      <x:c r="H5" s="7" t="str">
        <x:f>(VALUE(LEFT(D5,FIND(".",D5)-1))+255-VALUE(LEFT(F5,FIND(".",F5)-1)))&amp;"."&amp;(VALUE(MID(D5,FIND(".",D5)+1,FIND(".",D5,FIND(".",D5)+1)-FIND(".",D5)-1))+255-VALUE(MID(F5,FIND(".",F5)+1,FIND(".",F5,FIND(".",F5)+1)-FIND(".",F5)-1)))&amp;"."&amp;(VALUE(MID(D5,FIND(".",D5,FIND(".",D5)+1)+1,FIND(".",D5,FIND(".",D5,FIND(".",D5)+1)+1)-FIND(".",D5,FIND(".",D5)+1)-1))+255-VALUE(MID(F5,FIND(".",F5,FIND(".",F5)+1)+1,FIND(".",F5,FIND(".",F5,FIND(".",F5)+1)+1)-FIND(".",F5,FIND(".",F5)+1)-1)))&amp;"."&amp;(VALUE(RIGHT(D5,LEN(D5)-FIND(".",D5,FIND(".",D5,FIND(".",D5)+1)+1)))+255-VALUE(RIGHT(F5,LEN(F5)-FIND(".",F5,FIND(".",F5,FIND(".",F5)+1)+1)))-1)</x:f>
        <x:v>10.3.10.254</x:v>
      </x:c>
      <x:c r="I5" s="7">
        <x:v>40</x:v>
      </x:c>
      <x:c r="J5" s="9">
        <x:v>21</x:v>
      </x:c>
      <x:c r="K5" s="9">
        <x:v>5</x:v>
      </x:c>
    </x:row>
    <x:row r="6" ht="15.75" customHeight="1">
      <x:c r="A6" s="7" t="s">
        <x:v>56</x:v>
      </x:c>
      <x:c r="B6" s="8">
        <x:v>20</x:v>
      </x:c>
      <x:c r="C6" s="7">
        <x:v>0</x:v>
      </x:c>
      <x:c r="D6" s="7" t="str">
        <x:f t="shared" ref="D6:D9" si="1">10&amp;"."&amp;$A$2&amp;"."&amp;B6&amp;".0"</x:f>
        <x:v>10.3.20.0</x:v>
      </x:c>
      <x:c r="E6" s="7" t="str">
        <x:f t="shared" ref="E6:E9" si="2">10&amp;"."&amp;$A$2&amp;"."&amp;B6&amp;".1"</x:f>
        <x:v>10.3.20.1</x:v>
      </x:c>
      <x:c r="F6" s="7" t="s">
        <x:v>55</x:v>
      </x:c>
      <x:c r="G6" s="7" t="str">
        <x:f t="shared" si="0"/>
        <x:v>10.3.20.1</x:v>
      </x:c>
      <x:c r="H6" s="7" t="str">
        <x:f>(VALUE(LEFT(D6,FIND(".",D6)-1))+255-VALUE(LEFT(F6,FIND(".",F6)-1)))&amp;"."&amp;(VALUE(MID(D6,FIND(".",D6)+1,FIND(".",D6,FIND(".",D6)+1)-FIND(".",D6)-1))+255-VALUE(MID(F6,FIND(".",F6)+1,FIND(".",F6,FIND(".",F6)+1)-FIND(".",F6)-1)))&amp;"."&amp;(VALUE(MID(D6,FIND(".",D6,FIND(".",D6)+1)+1,FIND(".",D6,FIND(".",D6,FIND(".",D6)+1)+1)-FIND(".",D6,FIND(".",D6)+1)-1))+255-VALUE(MID(F6,FIND(".",F6,FIND(".",F6)+1)+1,FIND(".",F6,FIND(".",F6,FIND(".",F6)+1)+1)-FIND(".",F6,FIND(".",F6)+1)-1)))&amp;"."&amp;(VALUE(RIGHT(D6,LEN(D6)-FIND(".",D6,FIND(".",D6,FIND(".",D6)+1)+1)))+255-VALUE(RIGHT(F6,LEN(F6)-FIND(".",F6,FIND(".",F6,FIND(".",F6)+1)+1)))-1)</x:f>
        <x:v>10.3.20.254</x:v>
      </x:c>
      <x:c r="I6" s="7">
        <x:v>40</x:v>
      </x:c>
      <x:c r="J6" s="9">
        <x:v>11</x:v>
      </x:c>
      <x:c r="K6" s="9">
        <x:v>2</x:v>
      </x:c>
    </x:row>
    <x:row r="7" ht="15.75" customHeight="1">
      <x:c r="A7" s="7" t="s">
        <x:v>57</x:v>
      </x:c>
      <x:c r="B7" s="8">
        <x:v>30</x:v>
      </x:c>
      <x:c r="C7" s="7">
        <x:v>0</x:v>
      </x:c>
      <x:c r="D7" s="7" t="str">
        <x:f t="shared" si="1"/>
        <x:v>10.3.30.0</x:v>
      </x:c>
      <x:c r="E7" s="7" t="str">
        <x:f t="shared" si="2"/>
        <x:v>10.3.30.1</x:v>
      </x:c>
      <x:c r="F7" s="7" t="s">
        <x:v>55</x:v>
      </x:c>
      <x:c r="G7" s="7" t="str">
        <x:f t="shared" si="0"/>
        <x:v>10.3.30.1</x:v>
      </x:c>
      <x:c r="H7" s="7" t="str">
        <x:f>(VALUE(LEFT(D7,FIND(".",D7)-1))+255-VALUE(LEFT(F7,FIND(".",F7)-1)))&amp;"."&amp;(VALUE(MID(D7,FIND(".",D7)+1,FIND(".",D7,FIND(".",D7)+1)-FIND(".",D7)-1))+255-VALUE(MID(F7,FIND(".",F7)+1,FIND(".",F7,FIND(".",F7)+1)-FIND(".",F7)-1)))&amp;"."&amp;(VALUE(MID(D7,FIND(".",D7,FIND(".",D7)+1)+1,FIND(".",D7,FIND(".",D7,FIND(".",D7)+1)+1)-FIND(".",D7,FIND(".",D7)+1)-1))+255-VALUE(MID(F7,FIND(".",F7,FIND(".",F7)+1)+1,FIND(".",F7,FIND(".",F7,FIND(".",F7)+1)+1)-FIND(".",F7,FIND(".",F7)+1)-1)))&amp;"."&amp;(VALUE(RIGHT(D7,LEN(D7)-FIND(".",D7,FIND(".",D7,FIND(".",D7)+1)+1)))+255-VALUE(RIGHT(F7,LEN(F7)-FIND(".",F7,FIND(".",F7,FIND(".",F7)+1)+1)))-1)</x:f>
        <x:v>10.3.30.254</x:v>
      </x:c>
      <x:c r="I7" s="7">
        <x:v>40</x:v>
      </x:c>
      <x:c r="J7">
        <x:v>42</x:v>
      </x:c>
      <x:c r="K7">
        <x:v>7</x:v>
      </x:c>
    </x:row>
    <x:row r="8" ht="15.75" customHeight="1">
      <x:c r="A8" s="7" t="s">
        <x:v>58</x:v>
      </x:c>
      <x:c r="B8" s="8">
        <x:v>40</x:v>
      </x:c>
      <x:c r="C8" s="7">
        <x:v>0</x:v>
      </x:c>
      <x:c r="D8" s="7" t="str">
        <x:f t="shared" si="1"/>
        <x:v>10.3.40.0</x:v>
      </x:c>
      <x:c r="E8" s="7" t="str">
        <x:f t="shared" si="2"/>
        <x:v>10.3.40.1</x:v>
      </x:c>
      <x:c r="F8" s="7" t="s">
        <x:v>55</x:v>
      </x:c>
      <x:c r="G8" s="7" t="str">
        <x:f t="shared" si="0"/>
        <x:v>10.3.40.1</x:v>
      </x:c>
      <x:c r="H8" s="7" t="str">
        <x:f>(VALUE(LEFT(D8,FIND(".",D8)-1))+255-VALUE(LEFT(F8,FIND(".",F8)-1)))&amp;"."&amp;(VALUE(MID(D8,FIND(".",D8)+1,FIND(".",D8,FIND(".",D8)+1)-FIND(".",D8)-1))+255-VALUE(MID(F8,FIND(".",F8)+1,FIND(".",F8,FIND(".",F8)+1)-FIND(".",F8)-1)))&amp;"."&amp;(VALUE(MID(D8,FIND(".",D8,FIND(".",D8)+1)+1,FIND(".",D8,FIND(".",D8,FIND(".",D8)+1)+1)-FIND(".",D8,FIND(".",D8)+1)-1))+255-VALUE(MID(F8,FIND(".",F8,FIND(".",F8)+1)+1,FIND(".",F8,FIND(".",F8,FIND(".",F8)+1)+1)-FIND(".",F8,FIND(".",F8)+1)-1)))&amp;"."&amp;(VALUE(RIGHT(D8,LEN(D8)-FIND(".",D8,FIND(".",D8,FIND(".",D8)+1)+1)))+255-VALUE(RIGHT(F8,LEN(F8)-FIND(".",F8,FIND(".",F8,FIND(".",F8)+1)+1)))-1)</x:f>
        <x:v>10.3.40.254</x:v>
      </x:c>
      <x:c r="I8" s="7">
        <x:v>40</x:v>
      </x:c>
      <x:c r="J8">
        <x:v>41</x:v>
      </x:c>
      <x:c r="K8">
        <x:v>10</x:v>
      </x:c>
      <x:c r="L8" s="12"/>
    </x:row>
    <x:row r="9" ht="15.75" customHeight="1">
      <x:c r="A9" s="42" t="s">
        <x:v>59</x:v>
      </x:c>
      <x:c r="B9" s="8">
        <x:v>50</x:v>
      </x:c>
      <x:c r="C9" s="7">
        <x:v>0</x:v>
      </x:c>
      <x:c r="D9" s="7" t="str">
        <x:f t="shared" si="1"/>
        <x:v>10.3.50.0</x:v>
      </x:c>
      <x:c r="E9" s="7" t="str">
        <x:f t="shared" si="2"/>
        <x:v>10.3.50.1</x:v>
      </x:c>
      <x:c r="F9" s="7" t="s">
        <x:v>55</x:v>
      </x:c>
      <x:c r="G9" s="7" t="str">
        <x:f t="shared" si="0"/>
        <x:v>10.3.50.1</x:v>
      </x:c>
      <x:c r="H9" s="7" t="str">
        <x:f>(VALUE(LEFT(D9,FIND(".",D9)-1))+255-VALUE(LEFT(F9,FIND(".",F9)-1)))&amp;"."&amp;(VALUE(MID(D9,FIND(".",D9)+1,FIND(".",D9,FIND(".",D9)+1)-FIND(".",D9)-1))+255-VALUE(MID(F9,FIND(".",F9)+1,FIND(".",F9,FIND(".",F9)+1)-FIND(".",F9)-1)))&amp;"."&amp;(VALUE(MID(D9,FIND(".",D9,FIND(".",D9)+1)+1,FIND(".",D9,FIND(".",D9,FIND(".",D9)+1)+1)-FIND(".",D9,FIND(".",D9)+1)-1))+255-VALUE(MID(F9,FIND(".",F9,FIND(".",F9)+1)+1,FIND(".",F9,FIND(".",F9,FIND(".",F9)+1)+1)-FIND(".",F9,FIND(".",F9)+1)-1)))&amp;"."&amp;(VALUE(RIGHT(D9,LEN(D9)-FIND(".",D9,FIND(".",D9,FIND(".",D9)+1)+1)))+255-VALUE(RIGHT(F9,LEN(F9)-FIND(".",F9,FIND(".",F9,FIND(".",F9)+1)+1)))-1)</x:f>
        <x:v>10.3.50.254</x:v>
      </x:c>
      <x:c r="I9" s="7">
        <x:v>40</x:v>
      </x:c>
      <x:c r="J9">
        <x:v>41</x:v>
      </x:c>
      <x:c r="K9">
        <x:v>10</x:v>
      </x:c>
      <x:c r="L9" s="12"/>
    </x:row>
    <x:row r="10" ht="15.75" customHeight="1">
      <x:c r="A10" s="3"/>
      <x:c r="B10" s="3"/>
      <x:c r="C10"/>
      <x:c r="D10"/>
      <x:c r="E10"/>
      <x:c r="F10"/>
      <x:c r="G10"/>
      <x:c r="H10"/>
      <x:c r="I10"/>
      <x:c r="J10"/>
      <x:c r="K10"/>
      <x:c r="L10" s="12"/>
    </x:row>
    <x:row r="11" ht="15.75" customHeight="1">
      <x:c r="A11" s="6" t="s">
        <x:v>43</x:v>
      </x:c>
      <x:c r="B11" s="6" t="s">
        <x:v>60</x:v>
      </x:c>
      <x:c r="C11" s="6" t="s">
        <x:v>61</x:v>
      </x:c>
      <x:c r="D11"/>
      <x:c r="E11"/>
      <x:c r="F11"/>
      <x:c r="G11"/>
      <x:c r="H11"/>
      <x:c r="I11"/>
      <x:c r="J11"/>
      <x:c r="K11"/>
      <x:c r="L11" s="12"/>
    </x:row>
    <x:row r="12" ht="15.75" customHeight="1">
      <x:c r="A12" s="7" t="s">
        <x:v>54</x:v>
      </x:c>
      <x:c r="B12" s="7">
        <x:v>10</x:v>
      </x:c>
      <x:c r="C12" s="7" t="str">
        <x:f>$A$2&amp;"."&amp;$A$2&amp;"."&amp;$A$2&amp;"."&amp;B12</x:f>
        <x:v>3.3.3.10</x:v>
      </x:c>
      <x:c r="D12"/>
      <x:c r="E12"/>
      <x:c r="F12"/>
      <x:c r="G12"/>
      <x:c r="H12"/>
      <x:c r="I12"/>
      <x:c r="J12"/>
      <x:c r="K12"/>
      <x:c r="L12" s="12"/>
    </x:row>
    <x:row r="13" ht="15.75" customHeight="1">
      <x:c r="A13" s="7" t="s">
        <x:v>56</x:v>
      </x:c>
      <x:c r="B13" s="7">
        <x:v>20</x:v>
      </x:c>
      <x:c r="C13" s="7" t="str">
        <x:f t="shared" ref="C13:C16" si="3">$A$2&amp;"."&amp;$A$2&amp;"."&amp;$A$2&amp;"."&amp;B13</x:f>
        <x:v>3.3.3.20</x:v>
      </x:c>
      <x:c r="D13"/>
      <x:c r="E13"/>
      <x:c r="F13"/>
      <x:c r="G13"/>
      <x:c r="H13"/>
      <x:c r="I13"/>
      <x:c r="J13"/>
      <x:c r="K13"/>
      <x:c r="L13" s="12"/>
    </x:row>
    <x:row r="14" ht="15.75" customHeight="1">
      <x:c r="A14" s="7" t="s">
        <x:v>57</x:v>
      </x:c>
      <x:c r="B14" s="7">
        <x:v>30</x:v>
      </x:c>
      <x:c r="C14" s="7" t="str">
        <x:f t="shared" si="3"/>
        <x:v>3.3.3.30</x:v>
      </x:c>
      <x:c r="D14"/>
      <x:c r="E14"/>
      <x:c r="F14"/>
      <x:c r="G14"/>
      <x:c r="H14"/>
      <x:c r="I14"/>
      <x:c r="J14"/>
      <x:c r="K14"/>
      <x:c r="L14" s="12"/>
    </x:row>
    <x:row r="15" ht="15.75" customHeight="1">
      <x:c r="A15" s="7" t="s">
        <x:v>58</x:v>
      </x:c>
      <x:c r="B15" s="7">
        <x:v>40</x:v>
      </x:c>
      <x:c r="C15" s="7" t="str">
        <x:f t="shared" si="3"/>
        <x:v>3.3.3.40</x:v>
      </x:c>
      <x:c r="D15"/>
      <x:c r="E15"/>
      <x:c r="F15"/>
      <x:c r="G15"/>
      <x:c r="H15"/>
      <x:c r="I15"/>
      <x:c r="J15"/>
      <x:c r="K15"/>
      <x:c r="L15" s="12"/>
    </x:row>
    <x:row r="16" ht="15.75" customHeight="1">
      <x:c r="A16" s="42" t="s">
        <x:v>59</x:v>
      </x:c>
      <x:c r="B16" s="7">
        <x:v>50</x:v>
      </x:c>
      <x:c r="C16" s="42" t="str">
        <x:f t="shared" si="3"/>
        <x:v>3.3.3.50</x:v>
      </x:c>
      <x:c r="D16"/>
      <x:c r="E16"/>
      <x:c r="F16"/>
      <x:c r="G16"/>
      <x:c r="H16"/>
      <x:c r="I16"/>
      <x:c r="J16"/>
      <x:c r="K16"/>
      <x:c r="L16" s="12"/>
    </x:row>
    <x:row r="17" ht="15.75" customHeight="1"/>
    <x:row r="18" ht="15.75" customHeight="1">
      <x:c r="A18" s="12" t="s">
        <x:v>62</x:v>
      </x:c>
      <x:c r="B18" s="12" t="s">
        <x:v>43</x:v>
      </x:c>
      <x:c r="C18" s="12" t="s">
        <x:v>63</x:v>
      </x:c>
      <x:c r="D18" s="12" t="s">
        <x:v>48</x:v>
      </x:c>
      <x:c r="E18" s="12" t="s">
        <x:v>64</x:v>
      </x:c>
      <x:c r="F18" s="12" t="s">
        <x:v>65</x:v>
      </x:c>
      <x:c r="G18" s="12" t="s">
        <x:v>66</x:v>
      </x:c>
      <x:c r="H18" s="12" t="s">
        <x:v>67</x:v>
      </x:c>
      <x:c r="I18" s="12" t="s">
        <x:v>68</x:v>
      </x:c>
      <x:c r="J18" s="12" t="s">
        <x:v>69</x:v>
      </x:c>
    </x:row>
    <x:row r="19" ht="15.75" customHeight="1">
      <x:c r="A19" s="12" t="s">
        <x:v>70</x:v>
      </x:c>
      <x:c r="B19" s="12" t="s">
        <x:v>54</x:v>
      </x:c>
      <x:c r="C19" s="12" t="str">
        <x:f>172&amp;"."&amp;16&amp;"."&amp;H19&amp;"."&amp;$A$2</x:f>
        <x:v>172.16.10.3</x:v>
      </x:c>
      <x:c r="D19" s="12" t="s">
        <x:v>55</x:v>
      </x:c>
      <x:c r="E19" s="12" t="str">
        <x:f t="shared" ref="E19:E23" si="4">$C$2</x:f>
        <x:v>3.3.3.0</x:v>
      </x:c>
      <x:c r="F19"/>
      <x:c r="G19" s="12" t="s">
        <x:v>71</x:v>
      </x:c>
      <x:c r="H19" s="12">
        <x:v>10</x:v>
      </x:c>
      <x:c r="I19" s="29" t="b">
        <x:f>'Site 1 (HUB)'!I19</x:f>
        <x:v>1</x:v>
      </x:c>
      <x:c r="J19"/>
    </x:row>
    <x:row r="20" ht="15.75" customHeight="1">
      <x:c r="A20" s="12" t="s">
        <x:v>72</x:v>
      </x:c>
      <x:c r="B20" s="12" t="s">
        <x:v>56</x:v>
      </x:c>
      <x:c r="C20" s="12" t="str">
        <x:f>172&amp;"."&amp;16&amp;"."&amp;H20&amp;"."&amp;$A$2</x:f>
        <x:v>172.16.20.3</x:v>
      </x:c>
      <x:c r="D20" s="12" t="s">
        <x:v>55</x:v>
      </x:c>
      <x:c r="E20" s="12" t="str">
        <x:f t="shared" si="4"/>
        <x:v>3.3.3.0</x:v>
      </x:c>
      <x:c r="F20"/>
      <x:c r="G20" s="12" t="s">
        <x:v>71</x:v>
      </x:c>
      <x:c r="H20" s="12">
        <x:v>20</x:v>
      </x:c>
      <x:c r="I20" s="29" t="b" cm="1">
        <x:f>'Site 1 (HUB)'!I20</x:f>
        <x:v>0</x:v>
      </x:c>
      <x:c r="J20"/>
    </x:row>
    <x:row r="21" ht="15.75" customHeight="1">
      <x:c r="A21" s="12" t="s">
        <x:v>73</x:v>
      </x:c>
      <x:c r="B21" s="12" t="s">
        <x:v>57</x:v>
      </x:c>
      <x:c r="C21" s="12" t="str">
        <x:f>172&amp;"."&amp;16&amp;"."&amp;H21&amp;"."&amp;$A$2</x:f>
        <x:v>172.16.30.3</x:v>
      </x:c>
      <x:c r="D21" s="12" t="s">
        <x:v>55</x:v>
      </x:c>
      <x:c r="E21" s="12" t="str">
        <x:f t="shared" si="4"/>
        <x:v>3.3.3.0</x:v>
      </x:c>
      <x:c r="F21"/>
      <x:c r="G21" s="12" t="s">
        <x:v>71</x:v>
      </x:c>
      <x:c r="H21" s="12">
        <x:v>30</x:v>
      </x:c>
      <x:c r="I21" s="29" t="b">
        <x:f>'Site 1 (HUB)'!I21</x:f>
        <x:v>1</x:v>
      </x:c>
      <x:c r="J21"/>
    </x:row>
    <x:row r="22" ht="15.75" customHeight="1">
      <x:c r="A22" s="43" t="s">
        <x:v>74</x:v>
      </x:c>
      <x:c r="B22" s="43" t="s">
        <x:v>58</x:v>
      </x:c>
      <x:c r="C22" s="43" t="str">
        <x:f t="shared" ref="C22:C23" si="5">172&amp;"."&amp;16&amp;"."&amp;H22&amp;"."&amp;$A$2</x:f>
        <x:v>172.16.40.3</x:v>
      </x:c>
      <x:c r="D22" s="43" t="s">
        <x:v>55</x:v>
      </x:c>
      <x:c r="E22" s="43" t="str">
        <x:f t="shared" si="4"/>
        <x:v>3.3.3.0</x:v>
      </x:c>
      <x:c r="F22" s="46"/>
      <x:c r="G22" s="43" t="s">
        <x:v>71</x:v>
      </x:c>
      <x:c r="H22" s="43">
        <x:v>40</x:v>
      </x:c>
      <x:c r="I22" s="47" t="b">
        <x:f>'Site 1 (HUB)'!I22</x:f>
        <x:v>1</x:v>
      </x:c>
      <x:c r="J22" s="46"/>
    </x:row>
    <x:row r="23" ht="15.75" customHeight="1">
      <x:c r="A23" s="44" t="s">
        <x:v>75</x:v>
      </x:c>
      <x:c r="B23" s="43" t="s">
        <x:v>59</x:v>
      </x:c>
      <x:c r="C23" s="43" t="str">
        <x:f t="shared" si="5"/>
        <x:v>172.16.50.3</x:v>
      </x:c>
      <x:c r="D23" s="43" t="s">
        <x:v>55</x:v>
      </x:c>
      <x:c r="E23" s="43" t="str">
        <x:f t="shared" si="4"/>
        <x:v>3.3.3.0</x:v>
      </x:c>
      <x:c r="F23" s="46"/>
      <x:c r="G23" s="43" t="s">
        <x:v>71</x:v>
      </x:c>
      <x:c r="H23" s="43">
        <x:v>50</x:v>
      </x:c>
      <x:c r="I23" s="47" t="b">
        <x:f>'Site 1 (HUB)'!I23</x:f>
        <x:v>1</x:v>
      </x:c>
      <x:c r="J23" s="46"/>
    </x:row>
    <x:row r="24" ht="15.75" customHeight="1"/>
    <x:row r="25" ht="16.5" customHeight="1">
      <x:c r="A25" s="12" t="s">
        <x:v>0</x:v>
      </x:c>
      <x:c r="B25" s="12" t="s">
        <x:v>3</x:v>
      </x:c>
      <x:c r="C25" s="12" t="s">
        <x:v>4</x:v>
      </x:c>
      <x:c r="D25" s="12" t="s">
        <x:v>5</x:v>
      </x:c>
      <x:c r="E25" s="12" t="s">
        <x:v>6</x:v>
      </x:c>
      <x:c r="F25" s="12" t="s">
        <x:v>76</x:v>
      </x:c>
      <x:c r="G25" s="1" t="s">
        <x:v>77</x:v>
      </x:c>
      <x:c r="H25" s="1" t="s">
        <x:v>78</x:v>
      </x:c>
    </x:row>
    <x:row r="26" ht="15.75" customHeight="1">
      <x:c r="A26" s="12" t="n">
        <x:f>$A$2</x:f>
        <x:v>3</x:v>
      </x:c>
      <x:c r="B26" s="12" t="str">
        <x:f>$D$2</x:f>
        <x:v>admin</x:v>
      </x:c>
      <x:c r="C26" s="12" t="str">
        <x:v>CHANGE_ME_LOCAL_PASSWORD</x:v>
      </x:c>
      <x:c r="D26" s="12" t="str">
        <x:f>$F$2</x:f>
        <x:v>0 - 15</x:v>
      </x:c>
      <x:c r="E26" s="12" t="str">
        <x:v>CHANGE_ME_ENABLE_SECRET</x:v>
      </x:c>
      <x:c r="F26" s="12">
        <x:v>2</x:v>
      </x:c>
      <x:c r="G26" s="2" t="s">
        <x:v>79</x:v>
      </x:c>
      <x:c r="H26" s="46" t="s">
        <x:v>80</x:v>
      </x:c>
    </x:row>
    <x:row r="27" ht="15.75" customHeight="1"/>
    <x:row r="28" ht="27.899999618530273" customHeight="1">
      <x:c r="A28" s="13" t="s">
        <x:v>81</x:v>
      </x:c>
      <x:c r="B28" s="13" t="s">
        <x:v>82</x:v>
      </x:c>
      <x:c r="C28" s="13" t="s">
        <x:v>83</x:v>
      </x:c>
      <x:c r="D28" s="13" t="s">
        <x:v>47</x:v>
      </x:c>
      <x:c r="E28" s="13" t="s">
        <x:v>48</x:v>
      </x:c>
      <x:c r="F28" s="13" t="s">
        <x:v>84</x:v>
      </x:c>
      <x:c r="G28" s="13" t="s">
        <x:v>85</x:v>
      </x:c>
      <x:c r="H28" s="13" t="s">
        <x:v>86</x:v>
      </x:c>
      <x:c r="I28" s="13" t="s">
        <x:v>87</x:v>
      </x:c>
      <x:c r="J28" s="13" t="s">
        <x:v>1</x:v>
      </x:c>
      <x:c r="K28" s="13" t="s">
        <x:v>88</x:v>
      </x:c>
      <x:c r="L28" s="25" t="s">
        <x:v>89</x:v>
      </x:c>
      <x:c r="M28" s="1" t="s">
        <x:v>17</x:v>
      </x:c>
      <x:c r="N28" s="1" t="s">
        <x:v>18</x:v>
      </x:c>
      <x:c r="O28" s="1" t="s">
        <x:v>19</x:v>
      </x:c>
      <x:c r="P28" s="1" t="s">
        <x:v>23</x:v>
      </x:c>
      <x:c r="Q28" s="1" t="s">
        <x:v>24</x:v>
      </x:c>
    </x:row>
    <x:row r="29" ht="45" customHeight="1">
      <x:c r="A29" s="7" t="n">
        <x:f t="shared" ref="A29:A30" si="6">ROW()-28</x:f>
        <x:v>1</x:v>
      </x:c>
      <x:c r="B29" s="7" t="n">
        <x:f>$B$5</x:f>
        <x:v>10</x:v>
      </x:c>
      <x:c r="C29" s="7" t="str">
        <x:f>10&amp;"."&amp;$A$2&amp;"."&amp;$B$5&amp;"."&amp;(A29+1)</x:f>
        <x:v>10.3.10.2</x:v>
      </x:c>
      <x:c r="D29" s="7" t="str">
        <x:f>$E$5</x:f>
        <x:v>10.3.10.1</x:v>
      </x:c>
      <x:c r="E29" s="7" t="str">
        <x:f>$F$5</x:f>
        <x:v>255.255.255.0</x:v>
      </x:c>
      <x:c r="F29" s="7">
        <x:v>49</x:v>
      </x:c>
      <x:c r="G29" s="7">
        <x:v>1</x:v>
      </x:c>
      <x:c r="H29" s="10">
        <x:v>1</x:v>
      </x:c>
      <x:c r="I29" s="7" t="s">
        <x:v>93</x:v>
      </x:c>
      <x:c r="J29" s="2" t="s">
        <x:v>94</x:v>
      </x:c>
      <x:c r="K29" s="2" t="n">
        <x:f>IF($A29=1,F29-G29-H29*$F$26-2-IF(OR(UPPER($G$26)="SPAN",UPPER($G$26)="RSPAN"),1,0),F29-G29-(1+H29)*$F$26-1)</x:f>
        <x:v>43</x:v>
      </x:c>
      <x:c r="M29" s="31"/>
      <x:c r="N29" s="31"/>
      <x:c r="O29" s="31"/>
      <x:c r="P29" s="31"/>
      <x:c r="Q29" s="31"/>
    </x:row>
    <x:row r="30" ht="15.75" customHeight="1">
      <x:c r="A30" s="7">
        <x:f t="shared" si="6"/>
        <x:v>2</x:v>
      </x:c>
      <x:c r="B30" s="7" t="n">
        <x:f>$B$5</x:f>
        <x:v>10</x:v>
      </x:c>
      <x:c r="C30" s="7" t="str">
        <x:f>10&amp;"."&amp;$A$2&amp;"."&amp;$B$5&amp;"."&amp;(A30+1)</x:f>
        <x:v>10.3.10.3</x:v>
      </x:c>
      <x:c r="D30" s="7" t="str">
        <x:f>$E$5</x:f>
        <x:v>10.3.10.1</x:v>
      </x:c>
      <x:c r="E30" s="7" t="str">
        <x:f>$F$5</x:f>
        <x:v>255.255.255.0</x:v>
      </x:c>
      <x:c r="F30" s="7">
        <x:v>11</x:v>
      </x:c>
      <x:c r="G30" s="7">
        <x:v>1</x:v>
      </x:c>
      <x:c r="H30" s="7">
        <x:v>0</x:v>
      </x:c>
      <x:c r="I30" s="41" t="s">
        <x:v>95</x:v>
      </x:c>
      <x:c r="J30" s="2" t="s">
        <x:v>30</x:v>
      </x:c>
      <x:c r="K30" s="2" t="n">
        <x:f>IF($A30=1,F30-G30-H30*$F$26-2-IF(OR(UPPER($G$26)="SPAN",UPPER($G$26)="RSPAN"),1,0),F30-G30-(1+H30)*$F$26-1)</x:f>
        <x:v>7</x:v>
      </x:c>
      <x:c r="M30" s="31"/>
      <x:c r="N30" s="31"/>
      <x:c r="O30" s="31"/>
      <x:c r="P30" s="31"/>
      <x:c r="Q30" s="31"/>
    </x:row>
    <x:row r="31" ht="15.75" customHeight="1">
      <x:c r="M31" s="31"/>
      <x:c r="N31" s="31"/>
      <x:c r="O31" s="31"/>
      <x:c r="P31" s="31"/>
      <x:c r="Q31" s="31"/>
    </x:row>
    <x:row r="32" ht="15.75" customHeight="1">
      <x:c r="M32" s="31"/>
      <x:c r="N32" s="31"/>
      <x:c r="O32" s="31"/>
      <x:c r="P32" s="31"/>
      <x:c r="Q32" s="31"/>
    </x:row>
    <x:row r="33" ht="15.75" customHeight="1">
      <x:c r="M33" s="31"/>
      <x:c r="N33" s="31"/>
      <x:c r="O33" s="31"/>
      <x:c r="P33" s="31"/>
      <x:c r="Q33" s="31"/>
    </x:row>
    <x:row r="34" ht="15.75" customHeight="1">
      <x:c r="M34" s="31"/>
      <x:c r="N34" s="31"/>
      <x:c r="O34" s="31"/>
      <x:c r="P34" s="31"/>
      <x:c r="Q34" s="31"/>
    </x:row>
    <x:row r="35" ht="15.75" customHeight="1">
      <x:c r="M35" s="31"/>
      <x:c r="N35" s="31"/>
      <x:c r="O35" s="31"/>
      <x:c r="P35" s="31"/>
      <x:c r="Q35" s="31"/>
    </x:row>
    <x:row r="36" ht="15.75" customHeight="1">
      <x:c r="M36" s="31"/>
      <x:c r="N36" s="31"/>
      <x:c r="O36" s="31"/>
      <x:c r="P36" s="31"/>
      <x:c r="Q36" s="31"/>
    </x:row>
    <x:row r="37" ht="15.75" customHeight="1">
      <x:c r="M37" s="31"/>
      <x:c r="N37" s="31"/>
      <x:c r="O37" s="31"/>
      <x:c r="P37" s="31"/>
      <x:c r="Q37" s="31"/>
    </x:row>
    <x:row r="38" ht="15.75" customHeight="1">
      <x:c r="M38" s="31"/>
      <x:c r="N38" s="31"/>
      <x:c r="O38" s="31"/>
      <x:c r="P38" s="31"/>
      <x:c r="Q38" s="31"/>
    </x:row>
    <x:row r="39" ht="15.75" customHeight="1">
      <x:c r="M39" s="31"/>
      <x:c r="N39" s="31"/>
      <x:c r="O39" s="31"/>
      <x:c r="P39" s="31"/>
      <x:c r="Q39" s="31"/>
    </x:row>
    <x:row r="40" ht="15.75" customHeight="1">
      <x:c r="M40" s="31"/>
      <x:c r="N40" s="31"/>
      <x:c r="O40" s="31"/>
      <x:c r="P40" s="31"/>
      <x:c r="Q40" s="31"/>
    </x:row>
    <x:row r="41" ht="15.75" customHeight="1">
      <x:c r="M41" s="31"/>
      <x:c r="N41" s="31"/>
      <x:c r="O41" s="31"/>
      <x:c r="P41" s="31"/>
      <x:c r="Q41" s="31"/>
    </x:row>
    <x:row r="42" ht="15.75" customHeight="1">
      <x:c r="M42" s="31"/>
      <x:c r="N42" s="31"/>
      <x:c r="O42" s="31"/>
      <x:c r="P42" s="31"/>
      <x:c r="Q42" s="31"/>
    </x:row>
    <x:row r="43" ht="15.75" customHeight="1">
      <x:c r="M43" s="31"/>
      <x:c r="N43" s="31"/>
      <x:c r="O43" s="31"/>
      <x:c r="P43" s="31"/>
      <x:c r="Q43" s="31"/>
    </x:row>
    <x:row r="44" ht="15.75" customHeight="1">
      <x:c r="M44" s="31"/>
      <x:c r="N44" s="31"/>
      <x:c r="O44" s="31"/>
      <x:c r="P44" s="31"/>
      <x:c r="Q44" s="31"/>
    </x:row>
    <x:row r="45" ht="15.75" customHeight="1">
      <x:c r="M45" s="31"/>
      <x:c r="N45" s="31"/>
      <x:c r="O45" s="31"/>
      <x:c r="P45" s="31"/>
      <x:c r="Q45" s="31"/>
    </x:row>
    <x:row r="46" ht="15.75" customHeight="1">
      <x:c r="M46" s="31"/>
      <x:c r="N46" s="31"/>
      <x:c r="O46" s="31"/>
      <x:c r="P46" s="31"/>
      <x:c r="Q46" s="31"/>
    </x:row>
    <x:row r="47" ht="15.75" customHeight="1">
      <x:c r="M47" s="31"/>
      <x:c r="N47" s="31"/>
      <x:c r="O47" s="31"/>
      <x:c r="P47" s="31"/>
      <x:c r="Q47" s="31"/>
    </x:row>
    <x:row r="48" ht="15.75" customHeight="1">
      <x:c r="M48" s="31"/>
      <x:c r="N48" s="31"/>
      <x:c r="O48" s="31"/>
      <x:c r="P48" s="31"/>
      <x:c r="Q48" s="31"/>
    </x:row>
    <x:row r="49" ht="15.75" customHeight="1">
      <x:c r="M49" s="31"/>
      <x:c r="N49" s="31"/>
      <x:c r="O49" s="31"/>
      <x:c r="P49" s="31"/>
      <x:c r="Q49" s="31"/>
    </x:row>
    <x:row r="50" ht="15.75" customHeight="1">
      <x:c r="M50" s="31"/>
      <x:c r="N50" s="31"/>
      <x:c r="O50" s="31"/>
      <x:c r="P50" s="31"/>
      <x:c r="Q50" s="31"/>
    </x:row>
    <x:row r="51" ht="15.75" customHeight="1">
      <x:c r="M51" s="31"/>
      <x:c r="N51" s="31"/>
      <x:c r="O51" s="31"/>
      <x:c r="P51" s="31"/>
      <x:c r="Q51" s="31"/>
    </x:row>
    <x:row r="52" ht="15.75" customHeight="1">
      <x:c r="M52" s="31"/>
      <x:c r="N52" s="31"/>
      <x:c r="O52" s="31"/>
      <x:c r="P52" s="31"/>
      <x:c r="Q52" s="31"/>
    </x:row>
    <x:row r="53" ht="15.75" customHeight="1">
      <x:c r="M53" s="31"/>
      <x:c r="N53" s="31"/>
      <x:c r="O53" s="31"/>
      <x:c r="P53" s="31"/>
      <x:c r="Q53" s="31"/>
    </x:row>
    <x:row r="54" ht="15.75" customHeight="1">
      <x:c r="M54" s="31"/>
      <x:c r="N54" s="31"/>
      <x:c r="O54" s="31"/>
      <x:c r="P54" s="31"/>
      <x:c r="Q54" s="31"/>
    </x:row>
    <x:row r="55" ht="15.75" customHeight="1">
      <x:c r="M55" s="31"/>
      <x:c r="N55" s="31"/>
      <x:c r="O55" s="31"/>
      <x:c r="P55" s="31"/>
      <x:c r="Q55" s="31"/>
    </x:row>
    <x:row r="56" ht="15.75" customHeight="1">
      <x:c r="M56" s="31"/>
      <x:c r="N56" s="31"/>
      <x:c r="O56" s="31"/>
      <x:c r="P56" s="31"/>
      <x:c r="Q56" s="31"/>
    </x:row>
    <x:row r="57" ht="15.75" customHeight="1">
      <x:c r="M57" s="31"/>
      <x:c r="N57" s="31"/>
      <x:c r="O57" s="31"/>
      <x:c r="P57" s="31"/>
      <x:c r="Q57" s="31"/>
    </x:row>
    <x:row r="58" ht="15.75" customHeight="1">
      <x:c r="M58" s="31"/>
      <x:c r="N58" s="31"/>
      <x:c r="O58" s="31"/>
      <x:c r="P58" s="31"/>
      <x:c r="Q58" s="31"/>
    </x:row>
    <x:row r="59" ht="15.75" customHeight="1">
      <x:c r="M59" s="31"/>
      <x:c r="N59" s="31"/>
      <x:c r="O59" s="31"/>
      <x:c r="P59" s="31"/>
      <x:c r="Q59" s="31"/>
    </x:row>
    <x:row r="60" ht="15.75" customHeight="1">
      <x:c r="M60" s="31"/>
      <x:c r="N60" s="31"/>
      <x:c r="O60" s="31"/>
      <x:c r="P60" s="31"/>
      <x:c r="Q60" s="31"/>
    </x:row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</x:sheetData>
  <x:dataValidations count="9">
    <x:dataValidation type="list" sqref="G26">
      <x:formula1>"SPAN,RSPAN,ERSPAN"</x:formula1>
    </x:dataValidation>
    <x:dataValidation type="list" sqref="L2">
      <x:formula1>"OFF,STRICT,LOOSE"</x:formula1>
    </x:dataValidation>
    <x:dataValidation type="list" sqref="O2:P2 S2 M29:N60">
      <x:formula1>"OLD,NEW"</x:formula1>
    </x:dataValidation>
    <x:dataValidation type="list" sqref="Q2 O29:O60">
      <x:formula1>"LEGACY,AUTH,ACCESS_SESSION"</x:formula1>
    </x:dataValidation>
    <x:dataValidation type="list" sqref="R2">
      <x:formula1>"CLASSIC,NAMED"</x:formula1>
    </x:dataValidation>
    <x:dataValidation type="list" sqref="T2">
      <x:formula1>"IKEV1,IKEV2"</x:formula1>
    </x:dataValidation>
    <x:dataValidation type="list" sqref="U2 P29:P60">
      <x:formula1>"AUTO,5,8,9"</x:formula1>
    </x:dataValidation>
    <x:dataValidation type="list" sqref="V2 Q29:Q60">
      <x:formula1>"AUTO,DOT1Q_CMD,NO_CMD"</x:formula1>
    </x:dataValidation>
    <x:dataValidation type="custom" allowBlank="1" showInputMessage="1" showErrorMessage="1" sqref="I29:I30">
      <x:formula1>IF(I29="",TRUE,SUM(--_xlfn.TEXTAFTER(_xlfn.TEXTSPLIT(I29,"-"),"."))&lt;=K29)</x:formula1>
    </x:dataValidation>
  </x:dataValidations>
  <x:pageMargins left="0.7" right="0.7" top="0.75" bottom="0.75" header="0.3" footer="0.3"/>
  <x:tableParts count="6">
    <x:tablePart xmlns:r="http://schemas.openxmlformats.org/officeDocument/2006/relationships" r:id="R575bf8474e614412"/>
    <x:tablePart xmlns:r="http://schemas.openxmlformats.org/officeDocument/2006/relationships" r:id="Rc46b7487ee7b444b"/>
    <x:tablePart xmlns:r="http://schemas.openxmlformats.org/officeDocument/2006/relationships" r:id="R428437f6e2e749fb"/>
    <x:tablePart xmlns:r="http://schemas.openxmlformats.org/officeDocument/2006/relationships" r:id="R81105f10f9974d37"/>
    <x:tablePart xmlns:r="http://schemas.openxmlformats.org/officeDocument/2006/relationships" r:id="R4cf6d9fca18b469a"/>
    <x:tablePart xmlns:r="http://schemas.openxmlformats.org/officeDocument/2006/relationships" r:id="Ra96193e77d7444fa"/>
  </x:tableParts>
</x:worksheet>
</file>

<file path=xl/worksheets/sheet4.xml><?xml version="1.0" encoding="utf-8"?>
<x:worksheet xmlns:x="http://schemas.openxmlformats.org/spreadsheetml/2006/main">
  <x:sheetFormatPr defaultRowHeight="13.199999809265137"/>
  <x:cols>
    <x:col min="1" max="1" width="15" customWidth="1"/>
    <x:col min="2" max="2" width="20" customWidth="1"/>
    <x:col min="3" max="3" width="14" customWidth="1"/>
    <x:col min="4" max="4" width="20" customWidth="1"/>
    <x:col min="5" max="5" width="12" customWidth="1"/>
    <x:col min="7" max="7" width="18" customWidth="1"/>
    <x:col min="8" max="8" width="58" customWidth="1"/>
  </x:cols>
  <x:sheetData>
    <x:row r="1">
      <x:c r="A1" s="15" t="s">
        <x:v>64</x:v>
      </x:c>
      <x:c r="B1" s="15" t="s">
        <x:v>65</x:v>
      </x:c>
      <x:c r="C1" s="15" t="s">
        <x:v>96</x:v>
      </x:c>
      <x:c r="D1" s="15" t="s">
        <x:v>97</x:v>
      </x:c>
      <x:c r="E1" s="15" t="s">
        <x:v>98</x:v>
      </x:c>
      <x:c r="G1" s="17" t="s">
        <x:v>99</x:v>
      </x:c>
      <x:c r="H1" s="17" t="s">
        <x:v>100</x:v>
      </x:c>
    </x:row>
    <x:row r="2" ht="26.399999618530273">
      <x:c r="A2" s="16" t="s">
        <x:v>54</x:v>
      </x:c>
      <x:c r="B2" s="16" t="s">
        <x:v>9</x:v>
      </x:c>
      <x:c r="C2" s="16" t="s">
        <x:v>101</x:v>
      </x:c>
      <x:c r="D2" s="16">
        <x:v>67</x:v>
      </x:c>
      <x:c r="E2" s="16" t="s">
        <x:v>102</x:v>
      </x:c>
      <x:c r="G2" s="18" t="s">
        <x:v>103</x:v>
      </x:c>
      <x:c r="H2" s="18" t="s">
        <x:v>104</x:v>
      </x:c>
    </x:row>
    <x:row r="3" ht="39.599998474121094">
      <x:c r="A3" s="16" t="s">
        <x:v>54</x:v>
      </x:c>
      <x:c r="B3" s="16" t="s">
        <x:v>54</x:v>
      </x:c>
      <x:c r="C3" s="16" t="s">
        <x:v>105</x:v>
      </x:c>
      <x:c r="D3" s="16" t="s">
        <x:v>106</x:v>
      </x:c>
      <x:c r="E3" s="16" t="s">
        <x:v>102</x:v>
      </x:c>
      <x:c r="G3" s="18" t="s">
        <x:v>107</x:v>
      </x:c>
      <x:c r="H3" s="18" t="s">
        <x:v>108</x:v>
      </x:c>
    </x:row>
    <x:row r="4" ht="26.399999618530273">
      <x:c r="A4" s="16" t="s">
        <x:v>56</x:v>
      </x:c>
      <x:c r="B4" s="16" t="s">
        <x:v>9</x:v>
      </x:c>
      <x:c r="C4" s="16" t="s">
        <x:v>101</x:v>
      </x:c>
      <x:c r="D4" s="16">
        <x:v>67</x:v>
      </x:c>
      <x:c r="E4" s="16" t="s">
        <x:v>102</x:v>
      </x:c>
      <x:c r="G4" s="18" t="s">
        <x:v>109</x:v>
      </x:c>
      <x:c r="H4" s="18" t="s">
        <x:v>110</x:v>
      </x:c>
    </x:row>
    <x:row r="5" ht="26.399999618530273">
      <x:c r="A5" s="16" t="s">
        <x:v>56</x:v>
      </x:c>
      <x:c r="B5" s="16" t="s">
        <x:v>56</x:v>
      </x:c>
      <x:c r="C5" s="16" t="s">
        <x:v>105</x:v>
      </x:c>
      <x:c r="D5" s="16" t="s">
        <x:v>106</x:v>
      </x:c>
      <x:c r="E5" s="16" t="s">
        <x:v>111</x:v>
      </x:c>
      <x:c r="G5" s="18" t="s">
        <x:v>9</x:v>
      </x:c>
      <x:c r="H5" s="18" t="s">
        <x:v>112</x:v>
      </x:c>
    </x:row>
    <x:row r="6" ht="26.399999618530273">
      <x:c r="A6" s="16" t="s">
        <x:v>56</x:v>
      </x:c>
      <x:c r="B6" s="16" t="s">
        <x:v>113</x:v>
      </x:c>
      <x:c r="C6" s="16" t="s">
        <x:v>101</x:v>
      </x:c>
      <x:c r="D6" s="16">
        <x:v>53</x:v>
      </x:c>
      <x:c r="E6" s="16" t="s">
        <x:v>102</x:v>
      </x:c>
      <x:c r="G6" s="18" t="s">
        <x:v>114</x:v>
      </x:c>
      <x:c r="H6" s="18" t="s">
        <x:v>115</x:v>
      </x:c>
    </x:row>
    <x:row r="7" ht="26.399999618530273">
      <x:c r="A7" s="16" t="s">
        <x:v>56</x:v>
      </x:c>
      <x:c r="B7" s="16" t="s">
        <x:v>113</x:v>
      </x:c>
      <x:c r="C7" s="16" t="s">
        <x:v>116</x:v>
      </x:c>
      <x:c r="D7" s="16">
        <x:v>53</x:v>
      </x:c>
      <x:c r="E7" s="16" t="s">
        <x:v>102</x:v>
      </x:c>
      <x:c r="G7" s="18" t="s">
        <x:v>117</x:v>
      </x:c>
      <x:c r="H7" s="18" t="s">
        <x:v>118</x:v>
      </x:c>
    </x:row>
    <x:row r="8" ht="39.599998474121094">
      <x:c r="A8" s="16" t="s">
        <x:v>56</x:v>
      </x:c>
      <x:c r="B8" s="16" t="s">
        <x:v>119</x:v>
      </x:c>
      <x:c r="C8" s="16" t="s">
        <x:v>116</x:v>
      </x:c>
      <x:c r="D8" s="16">
        <x:v>80</x:v>
      </x:c>
      <x:c r="E8" s="16" t="s">
        <x:v>102</x:v>
      </x:c>
      <x:c r="G8" s="18" t="s">
        <x:v>59</x:v>
      </x:c>
      <x:c r="H8" s="18" t="s">
        <x:v>120</x:v>
      </x:c>
    </x:row>
    <x:row r="9" ht="26.399999618530273">
      <x:c r="A9" s="16" t="s">
        <x:v>56</x:v>
      </x:c>
      <x:c r="B9" s="16" t="s">
        <x:v>119</x:v>
      </x:c>
      <x:c r="C9" s="16" t="s">
        <x:v>116</x:v>
      </x:c>
      <x:c r="D9" s="16">
        <x:v>443</x:v>
      </x:c>
      <x:c r="E9" s="16" t="s">
        <x:v>102</x:v>
      </x:c>
      <x:c r="G9" s="18" t="s">
        <x:v>121</x:v>
      </x:c>
      <x:c r="H9" s="18" t="s">
        <x:v>122</x:v>
      </x:c>
    </x:row>
    <x:row r="10">
      <x:c r="A10" s="16" t="s">
        <x:v>57</x:v>
      </x:c>
      <x:c r="B10" s="16" t="s">
        <x:v>9</x:v>
      </x:c>
      <x:c r="C10" s="16" t="s">
        <x:v>101</x:v>
      </x:c>
      <x:c r="D10" s="16">
        <x:v>67</x:v>
      </x:c>
      <x:c r="E10" s="16" t="s">
        <x:v>102</x:v>
      </x:c>
    </x:row>
    <x:row r="11">
      <x:c r="A11" s="16" t="s">
        <x:v>57</x:v>
      </x:c>
      <x:c r="B11" s="16" t="s">
        <x:v>57</x:v>
      </x:c>
      <x:c r="C11" s="16" t="s">
        <x:v>105</x:v>
      </x:c>
      <x:c r="D11" s="16" t="s">
        <x:v>106</x:v>
      </x:c>
      <x:c r="E11" s="16" t="s">
        <x:v>102</x:v>
      </x:c>
    </x:row>
    <x:row r="12">
      <x:c r="A12" s="16" t="s">
        <x:v>58</x:v>
      </x:c>
      <x:c r="B12" s="16" t="s">
        <x:v>9</x:v>
      </x:c>
      <x:c r="C12" s="16" t="s">
        <x:v>101</x:v>
      </x:c>
      <x:c r="D12" s="16">
        <x:v>67</x:v>
      </x:c>
      <x:c r="E12" s="16" t="s">
        <x:v>102</x:v>
      </x:c>
    </x:row>
    <x:row r="13">
      <x:c r="A13" s="16" t="s">
        <x:v>58</x:v>
      </x:c>
      <x:c r="B13" s="16" t="s">
        <x:v>58</x:v>
      </x:c>
      <x:c r="C13" s="16" t="s">
        <x:v>105</x:v>
      </x:c>
      <x:c r="D13" s="16" t="s">
        <x:v>106</x:v>
      </x:c>
      <x:c r="E13" s="16" t="s">
        <x:v>102</x:v>
      </x:c>
    </x:row>
    <x:row r="14">
      <x:c r="A14" t="s">
        <x:v>59</x:v>
      </x:c>
      <x:c r="B14" t="s">
        <x:v>59</x:v>
      </x:c>
      <x:c r="C14" t="s">
        <x:v>105</x:v>
      </x:c>
      <x:c r="D14" t="s">
        <x:v>106</x:v>
      </x:c>
      <x:c r="E14" t="s">
        <x:v>102</x:v>
      </x:c>
      <x:c r="G14" t="s">
        <x:v>123</x:v>
      </x:c>
      <x:c r="H14" t="s">
        <x:v>124</x:v>
      </x:c>
    </x:row>
    <x:row r="15">
      <x:c r="G15" t="s">
        <x:v>125</x:v>
      </x:c>
      <x:c r="H15" t="s">
        <x:v>126</x:v>
      </x:c>
    </x:row>
  </x:sheetData>
  <x:dataValidations count="4">
    <x:dataValidation type="list" sqref="A2:A201">
      <x:formula1>"MGMT,INET,UNET,PA,MONITORING"</x:formula1>
    </x:dataValidation>
    <x:dataValidation type="list" sqref="B2:B201">
      <x:formula1>"MGMT,INET,UNET,PA,MONITORING,INTERNET,ANY,DNS,DHCP,TACACS,SYSLOG,SELF"</x:formula1>
    </x:dataValidation>
    <x:dataValidation type="list" sqref="C2:C201">
      <x:formula1>"ip,tcp,udp,icmp,gre,esp,ah"</x:formula1>
    </x:dataValidation>
    <x:dataValidation type="list" sqref="E2:E201">
      <x:formula1>"permit,deny"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2d90440738415c"/>
  </x:tableParts>
</x:worksheet>
</file>